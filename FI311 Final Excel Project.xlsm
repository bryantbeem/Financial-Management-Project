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ant Beem\Downloads\"/>
    </mc:Choice>
  </mc:AlternateContent>
  <bookViews>
    <workbookView xWindow="0" yWindow="0" windowWidth="20490" windowHeight="7530" firstSheet="3" activeTab="5" xr2:uid="{00000000-000D-0000-FFFF-FFFF00000000}"/>
  </bookViews>
  <sheets>
    <sheet name="Main" sheetId="6" state="hidden" r:id="rId1"/>
    <sheet name="Data" sheetId="13" r:id="rId2"/>
    <sheet name="Input Sheet" sheetId="1" r:id="rId3"/>
    <sheet name="Output Sheet" sheetId="2" r:id="rId4"/>
    <sheet name="Graph" sheetId="3" state="hidden" r:id="rId5"/>
    <sheet name="Solutions" sheetId="14" r:id="rId6"/>
    <sheet name="Portfolio Variance" sheetId="4" state="veryHidden" r:id=""/>
    <sheet name="Sort" sheetId="5" state="veryHidden" r:id="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Data!#REF!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S83" i="14" l="1"/>
  <c r="R83" i="14"/>
  <c r="Q83" i="14"/>
  <c r="P83" i="14"/>
  <c r="S82" i="14"/>
  <c r="R82" i="14"/>
  <c r="Q82" i="14"/>
  <c r="P82" i="14"/>
  <c r="S81" i="14"/>
  <c r="R81" i="14"/>
  <c r="Q81" i="14"/>
  <c r="P81" i="14"/>
  <c r="Q80" i="14" l="1"/>
  <c r="S80" i="14"/>
  <c r="R80" i="14"/>
  <c r="P80" i="14"/>
  <c r="O80" i="14"/>
  <c r="Z63" i="14"/>
  <c r="Z62" i="14"/>
  <c r="Y58" i="14"/>
  <c r="Y57" i="14"/>
  <c r="Y56" i="14"/>
  <c r="Z55" i="14"/>
  <c r="Y55" i="14"/>
  <c r="D8" i="1"/>
  <c r="B8" i="1"/>
  <c r="D7" i="1"/>
  <c r="C7" i="1"/>
  <c r="B7" i="1"/>
  <c r="X51" i="14"/>
  <c r="X50" i="14"/>
  <c r="Y48" i="14"/>
  <c r="X48" i="14"/>
  <c r="Y47" i="14"/>
  <c r="X47" i="14"/>
  <c r="Y46" i="14"/>
  <c r="X46" i="14"/>
  <c r="P24" i="14"/>
  <c r="O24" i="14"/>
  <c r="N24" i="14"/>
  <c r="M24" i="14"/>
  <c r="P23" i="14"/>
  <c r="O23" i="14"/>
  <c r="N23" i="14"/>
  <c r="M23" i="14"/>
  <c r="P7" i="14"/>
  <c r="O7" i="14"/>
  <c r="N7" i="14"/>
  <c r="M7" i="14"/>
  <c r="P6" i="14"/>
  <c r="O6" i="14"/>
  <c r="N6" i="14"/>
  <c r="M6" i="14"/>
  <c r="J5" i="1" l="1"/>
</calcChain>
</file>

<file path=xl/sharedStrings.xml><?xml version="1.0" encoding="utf-8"?>
<sst xmlns="http://schemas.openxmlformats.org/spreadsheetml/2006/main" count="212" uniqueCount="100">
  <si>
    <t>Iteration so far:</t>
  </si>
  <si>
    <t>Iteration:</t>
  </si>
  <si>
    <t>Mean</t>
  </si>
  <si>
    <t>Iteration</t>
  </si>
  <si>
    <t>Sharpe Ratio</t>
  </si>
  <si>
    <t>Sd</t>
  </si>
  <si>
    <t>Outcomes from individual iteration</t>
  </si>
  <si>
    <t>Sum Check</t>
  </si>
  <si>
    <t>Risk Free Rate:</t>
  </si>
  <si>
    <t>Spreadsheet</t>
  </si>
  <si>
    <t>Software</t>
  </si>
  <si>
    <t>Stocks</t>
  </si>
  <si>
    <t>#</t>
  </si>
  <si>
    <t>Optimization</t>
  </si>
  <si>
    <t>S&amp;P 500</t>
  </si>
  <si>
    <t>UST 10y Bond</t>
  </si>
  <si>
    <t>Security</t>
  </si>
  <si>
    <t>DATA 1</t>
  </si>
  <si>
    <t>DATA 2</t>
  </si>
  <si>
    <t>Weight</t>
  </si>
  <si>
    <t>Optimal Portfolio</t>
  </si>
  <si>
    <t>Average Monthly Return</t>
  </si>
  <si>
    <t>Standard Deviation @ Optimal</t>
  </si>
  <si>
    <t>Sharpe Ratio @ Optimal</t>
  </si>
  <si>
    <t>Optimal Stock/Bond Combination (%)</t>
  </si>
  <si>
    <t>Small Stks</t>
  </si>
  <si>
    <t>Big Stks</t>
  </si>
  <si>
    <t>T-Bills</t>
  </si>
  <si>
    <t>T-Bonds</t>
  </si>
  <si>
    <t>Annual Returns</t>
  </si>
  <si>
    <t>Monthly Returns</t>
  </si>
  <si>
    <t>Average Annual Return</t>
  </si>
  <si>
    <t>Standard Deviation of Returns</t>
  </si>
  <si>
    <t>Long Sample: 1928-2011</t>
  </si>
  <si>
    <t>Short Sample: 2002-2011</t>
  </si>
  <si>
    <t>Risk, Reward, and Correlation Chart in Finance Textbooks</t>
  </si>
  <si>
    <t>CPB</t>
  </si>
  <si>
    <t>AAPL</t>
  </si>
  <si>
    <t>PCG</t>
  </si>
  <si>
    <t>GM</t>
  </si>
  <si>
    <t>Monthly Returns January 2012 - December 2016</t>
  </si>
  <si>
    <t>Beta (Slope)</t>
  </si>
  <si>
    <t>Average Monthly Return %</t>
  </si>
  <si>
    <t>Task 2 - What is the impact of correlation on diversification benefits?</t>
  </si>
  <si>
    <t>% Change in Returns, Optimal vs 100% Stocks</t>
  </si>
  <si>
    <t>% Change in Risk, Optimal vs 100% Stocks</t>
  </si>
  <si>
    <t>3. Compute correlation and covariance between stocks and bonds</t>
  </si>
  <si>
    <t>5. Assess the change in returns, compared with the change in risk resulting from diversification</t>
  </si>
  <si>
    <t>1. Compute historical reward and risk statistics for a long sample period</t>
  </si>
  <si>
    <t>2. Compute historical reward and risk statistics for a short sample period</t>
  </si>
  <si>
    <t xml:space="preserve">Chart will automatically populate </t>
  </si>
  <si>
    <t>Pattern of Historical Risk and Reward as Shown in Finance Textbooks</t>
  </si>
  <si>
    <t>Task 3 - Computing Systematic Risk and Cost of Equity Capital for 4 US Companies</t>
  </si>
  <si>
    <t>Chart will automatically populate with your data once pasted in columns A and B</t>
  </si>
  <si>
    <t>2. Compute reward and risk statistics</t>
  </si>
  <si>
    <t>Correlation (stocks, bonds)</t>
  </si>
  <si>
    <t>Covariance (stocks, bonds)</t>
  </si>
  <si>
    <t>Bonds</t>
  </si>
  <si>
    <t>Number of Securities</t>
  </si>
  <si>
    <t>Securities</t>
  </si>
  <si>
    <t>Task 1 - Determine whether the pattern of historical risk and reward stays the same over time?</t>
  </si>
  <si>
    <t>Variance</t>
  </si>
  <si>
    <t>Mean Monthly Return @ Optimal</t>
  </si>
  <si>
    <t>1. Compute Cost of Equity Capital</t>
  </si>
  <si>
    <t>2. Produce Linear Regression Results and Charts Using Excel Data Analysis</t>
  </si>
  <si>
    <t xml:space="preserve"> (please reference from Tab: Output Sheet)</t>
  </si>
  <si>
    <t>Stocks variance</t>
  </si>
  <si>
    <t>Bonds variance</t>
  </si>
  <si>
    <t>Standard Deviation</t>
  </si>
  <si>
    <r>
      <t xml:space="preserve">4. Transfer data from 'Output Sheet' tab here </t>
    </r>
    <r>
      <rPr>
        <b/>
        <sz val="10"/>
        <color rgb="FFFF0000"/>
        <rFont val="Arial"/>
        <family val="2"/>
      </rPr>
      <t>(Reference, do not copy and paste):</t>
    </r>
  </si>
  <si>
    <t>(please reference from Solutions tab)</t>
  </si>
  <si>
    <t>Respective Avgerage Monthly Returns</t>
  </si>
  <si>
    <t>Covariance between Stocks and Bonds</t>
  </si>
  <si>
    <t>1. Comparison to chart in finance textbooks</t>
  </si>
  <si>
    <t>Reward to Systematic Risk Ratio</t>
  </si>
  <si>
    <t>Cost of Equity Capital (CAPM)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</si>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</sst>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0"/>
    <numFmt numFmtId="165" formatCode="_(* #,##0_);_(* \(#,##0\);_(* &quot;-&quot;??_);_(@_)"/>
    <numFmt numFmtId="166" formatCode="0.000000"/>
    <numFmt numFmtId="167" formatCode="0.0%"/>
    <numFmt numFmtId="168" formatCode="[$-409]mmm\-yy;@"/>
    <numFmt numFmtId="169" formatCode="0.000"/>
  </numFmts>
  <fonts count="3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b/>
      <sz val="9"/>
      <color indexed="12"/>
      <name val="Arial"/>
      <family val="2"/>
    </font>
    <font>
      <b/>
      <sz val="9"/>
      <color indexed="16"/>
      <name val="Times New Roman"/>
      <family val="1"/>
    </font>
    <font>
      <b/>
      <sz val="10"/>
      <color indexed="18"/>
      <name val="Arial"/>
      <family val="2"/>
    </font>
    <font>
      <b/>
      <sz val="9"/>
      <color indexed="20"/>
      <name val="Times New Roman"/>
      <family val="1"/>
    </font>
    <font>
      <sz val="9"/>
      <name val="Arial"/>
      <family val="2"/>
    </font>
    <font>
      <b/>
      <sz val="10"/>
      <color indexed="20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Times New Roman"/>
      <family val="1"/>
    </font>
    <font>
      <b/>
      <sz val="9"/>
      <color indexed="20"/>
      <name val="Arial"/>
      <family val="2"/>
    </font>
    <font>
      <b/>
      <sz val="9"/>
      <color indexed="12"/>
      <name val="Arial"/>
      <family val="2"/>
    </font>
    <font>
      <b/>
      <sz val="9"/>
      <color indexed="16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indexed="16"/>
      <name val="Arial"/>
      <family val="2"/>
    </font>
    <font>
      <b/>
      <sz val="11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0"/>
      <color rgb="FFFF0000"/>
      <name val="Arial"/>
      <family val="2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9">
    <xf numFmtId="0" fontId="0" fillId="0" borderId="0" xfId="0"/>
    <xf numFmtId="166" fontId="4" fillId="0" borderId="0" xfId="0" applyNumberFormat="1" applyFont="1"/>
    <xf numFmtId="1" fontId="1" fillId="0" borderId="0" xfId="1" applyNumberFormat="1" applyFont="1" applyAlignment="1">
      <alignment horizontal="center"/>
    </xf>
    <xf numFmtId="0" fontId="1" fillId="0" borderId="0" xfId="0" applyFont="1"/>
    <xf numFmtId="0" fontId="0" fillId="0" borderId="1" xfId="0" applyBorder="1"/>
    <xf numFmtId="0" fontId="12" fillId="0" borderId="1" xfId="0" applyFont="1" applyBorder="1"/>
    <xf numFmtId="0" fontId="4" fillId="0" borderId="0" xfId="0" applyFont="1"/>
    <xf numFmtId="165" fontId="13" fillId="0" borderId="0" xfId="1" applyNumberFormat="1" applyFont="1" applyAlignment="1">
      <alignment horizontal="center"/>
    </xf>
    <xf numFmtId="0" fontId="14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8" fillId="4" borderId="0" xfId="0" applyFont="1" applyFill="1" applyAlignment="1">
      <alignment horizontal="left"/>
    </xf>
    <xf numFmtId="0" fontId="0" fillId="4" borderId="3" xfId="0" applyFill="1" applyBorder="1"/>
    <xf numFmtId="0" fontId="19" fillId="4" borderId="0" xfId="0" applyFont="1" applyFill="1" applyAlignment="1">
      <alignment horizontal="center"/>
    </xf>
    <xf numFmtId="1" fontId="1" fillId="0" borderId="4" xfId="1" applyNumberFormat="1" applyFont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3" fillId="2" borderId="6" xfId="0" applyFont="1" applyFill="1" applyBorder="1"/>
    <xf numFmtId="0" fontId="13" fillId="2" borderId="7" xfId="0" applyFont="1" applyFill="1" applyBorder="1" applyAlignment="1">
      <alignment horizontal="center"/>
    </xf>
    <xf numFmtId="0" fontId="0" fillId="2" borderId="8" xfId="0" applyFill="1" applyBorder="1"/>
    <xf numFmtId="0" fontId="10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15" fillId="2" borderId="0" xfId="0" applyNumberFormat="1" applyFont="1" applyFill="1" applyAlignment="1">
      <alignment horizontal="center"/>
    </xf>
    <xf numFmtId="164" fontId="16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0" fontId="11" fillId="2" borderId="0" xfId="0" applyFont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/>
    <xf numFmtId="0" fontId="0" fillId="0" borderId="0" xfId="0" applyBorder="1"/>
    <xf numFmtId="0" fontId="21" fillId="2" borderId="5" xfId="0" applyFont="1" applyFill="1" applyBorder="1" applyAlignment="1">
      <alignment horizontal="center"/>
    </xf>
    <xf numFmtId="0" fontId="27" fillId="0" borderId="0" xfId="0" applyFont="1"/>
    <xf numFmtId="0" fontId="22" fillId="0" borderId="0" xfId="0" applyFont="1"/>
    <xf numFmtId="0" fontId="0" fillId="6" borderId="0" xfId="0" applyFill="1" applyBorder="1"/>
    <xf numFmtId="0" fontId="4" fillId="6" borderId="0" xfId="0" applyFon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/>
    <xf numFmtId="0" fontId="9" fillId="6" borderId="5" xfId="0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24" fillId="6" borderId="0" xfId="0" applyNumberFormat="1" applyFont="1" applyFill="1" applyAlignment="1">
      <alignment horizontal="center"/>
    </xf>
    <xf numFmtId="0" fontId="25" fillId="6" borderId="0" xfId="0" applyFont="1" applyFill="1" applyAlignment="1">
      <alignment horizontal="center"/>
    </xf>
    <xf numFmtId="164" fontId="24" fillId="6" borderId="5" xfId="0" applyNumberFormat="1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168" fontId="0" fillId="0" borderId="0" xfId="0" applyNumberFormat="1"/>
    <xf numFmtId="0" fontId="28" fillId="7" borderId="0" xfId="0" applyFont="1" applyFill="1"/>
    <xf numFmtId="0" fontId="28" fillId="7" borderId="0" xfId="0" applyFont="1" applyFill="1" applyAlignment="1">
      <alignment horizontal="center"/>
    </xf>
    <xf numFmtId="0" fontId="20" fillId="0" borderId="0" xfId="0" applyFont="1"/>
    <xf numFmtId="0" fontId="23" fillId="0" borderId="0" xfId="0" applyFont="1" applyFill="1" applyBorder="1" applyAlignment="1">
      <alignment horizontal="center"/>
    </xf>
    <xf numFmtId="164" fontId="0" fillId="0" borderId="0" xfId="0" applyNumberFormat="1"/>
    <xf numFmtId="0" fontId="2" fillId="0" borderId="0" xfId="0" applyFont="1"/>
    <xf numFmtId="2" fontId="0" fillId="8" borderId="5" xfId="0" applyNumberFormat="1" applyFill="1" applyBorder="1"/>
    <xf numFmtId="0" fontId="20" fillId="0" borderId="0" xfId="0" applyFont="1" applyAlignment="1">
      <alignment horizontal="right"/>
    </xf>
    <xf numFmtId="0" fontId="20" fillId="0" borderId="0" xfId="0" applyFont="1" applyFill="1" applyBorder="1" applyAlignment="1">
      <alignment horizontal="right"/>
    </xf>
    <xf numFmtId="9" fontId="20" fillId="0" borderId="0" xfId="0" applyNumberFormat="1" applyFont="1" applyAlignment="1">
      <alignment horizontal="center"/>
    </xf>
    <xf numFmtId="167" fontId="0" fillId="8" borderId="5" xfId="2" applyNumberFormat="1" applyFont="1" applyFill="1" applyBorder="1"/>
    <xf numFmtId="0" fontId="29" fillId="10" borderId="0" xfId="0" applyFont="1" applyFill="1"/>
    <xf numFmtId="0" fontId="30" fillId="10" borderId="0" xfId="0" applyFont="1" applyFill="1"/>
    <xf numFmtId="0" fontId="26" fillId="0" borderId="3" xfId="0" applyFont="1" applyBorder="1"/>
    <xf numFmtId="14" fontId="20" fillId="0" borderId="0" xfId="0" applyNumberFormat="1" applyFont="1"/>
    <xf numFmtId="0" fontId="26" fillId="0" borderId="3" xfId="0" applyFont="1" applyBorder="1" applyAlignment="1">
      <alignment horizontal="center"/>
    </xf>
    <xf numFmtId="0" fontId="31" fillId="10" borderId="0" xfId="0" applyFont="1" applyFill="1"/>
    <xf numFmtId="0" fontId="0" fillId="10" borderId="0" xfId="0" applyFill="1"/>
    <xf numFmtId="0" fontId="1" fillId="0" borderId="0" xfId="0" applyFont="1" applyAlignment="1">
      <alignment horizontal="center"/>
    </xf>
    <xf numFmtId="0" fontId="0" fillId="0" borderId="0" xfId="0" applyFill="1"/>
    <xf numFmtId="0" fontId="0" fillId="9" borderId="0" xfId="0" applyFill="1"/>
    <xf numFmtId="0" fontId="1" fillId="0" borderId="0" xfId="0" applyFont="1" applyAlignment="1">
      <alignment horizontal="right"/>
    </xf>
    <xf numFmtId="0" fontId="23" fillId="0" borderId="0" xfId="0" applyFont="1"/>
    <xf numFmtId="169" fontId="0" fillId="8" borderId="5" xfId="0" applyNumberFormat="1" applyFill="1" applyBorder="1"/>
    <xf numFmtId="169" fontId="0" fillId="8" borderId="5" xfId="2" applyNumberFormat="1" applyFont="1" applyFill="1" applyBorder="1"/>
    <xf numFmtId="169" fontId="2" fillId="8" borderId="5" xfId="0" applyNumberFormat="1" applyFont="1" applyFill="1" applyBorder="1"/>
    <xf numFmtId="0" fontId="29" fillId="0" borderId="0" xfId="0" applyFont="1" applyFill="1"/>
    <xf numFmtId="0" fontId="30" fillId="0" borderId="0" xfId="0" applyFont="1" applyFill="1"/>
    <xf numFmtId="0" fontId="1" fillId="0" borderId="0" xfId="0" applyFont="1" applyFill="1" applyBorder="1" applyAlignment="1">
      <alignment horizontal="right"/>
    </xf>
    <xf numFmtId="0" fontId="23" fillId="0" borderId="0" xfId="0" applyFont="1" applyFill="1" applyBorder="1" applyAlignment="1">
      <alignment horizontal="left"/>
    </xf>
    <xf numFmtId="2" fontId="4" fillId="6" borderId="2" xfId="2" applyNumberFormat="1" applyFont="1" applyFill="1" applyBorder="1"/>
    <xf numFmtId="165" fontId="7" fillId="6" borderId="2" xfId="1" applyNumberFormat="1" applyFont="1" applyFill="1" applyBorder="1"/>
    <xf numFmtId="164" fontId="15" fillId="9" borderId="0" xfId="0" applyNumberFormat="1" applyFont="1" applyFill="1" applyAlignment="1">
      <alignment horizontal="center"/>
    </xf>
    <xf numFmtId="164" fontId="16" fillId="9" borderId="0" xfId="0" applyNumberFormat="1" applyFont="1" applyFill="1" applyAlignment="1">
      <alignment horizontal="center"/>
    </xf>
    <xf numFmtId="164" fontId="7" fillId="9" borderId="0" xfId="0" applyNumberFormat="1" applyFont="1" applyFill="1" applyAlignment="1">
      <alignment horizontal="center"/>
    </xf>
    <xf numFmtId="0" fontId="1" fillId="9" borderId="0" xfId="0" applyFont="1" applyFill="1"/>
    <xf numFmtId="0" fontId="1" fillId="0" borderId="4" xfId="0" applyFont="1" applyBorder="1" applyAlignment="1">
      <alignment horizontal="center"/>
    </xf>
    <xf numFmtId="1" fontId="1" fillId="0" borderId="0" xfId="1" applyNumberFormat="1" applyFont="1" applyBorder="1" applyAlignment="1">
      <alignment horizontal="center"/>
    </xf>
    <xf numFmtId="2" fontId="0" fillId="0" borderId="0" xfId="0" applyNumberFormat="1" applyBorder="1"/>
    <xf numFmtId="0" fontId="0" fillId="6" borderId="0" xfId="0" applyFill="1" applyBorder="1" applyAlignment="1"/>
    <xf numFmtId="2" fontId="0" fillId="6" borderId="0" xfId="0" applyNumberFormat="1" applyFill="1" applyBorder="1"/>
    <xf numFmtId="2" fontId="3" fillId="6" borderId="0" xfId="0" applyNumberFormat="1" applyFont="1" applyFill="1" applyBorder="1" applyAlignment="1">
      <alignment horizontal="center"/>
    </xf>
    <xf numFmtId="2" fontId="2" fillId="0" borderId="0" xfId="2" applyNumberFormat="1" applyFont="1" applyBorder="1" applyAlignment="1">
      <alignment horizontal="right"/>
    </xf>
    <xf numFmtId="2" fontId="19" fillId="0" borderId="0" xfId="2" applyNumberFormat="1" applyFont="1" applyBorder="1" applyAlignment="1">
      <alignment horizontal="right"/>
    </xf>
    <xf numFmtId="0" fontId="1" fillId="0" borderId="0" xfId="0" applyFont="1" applyBorder="1"/>
    <xf numFmtId="0" fontId="4" fillId="0" borderId="0" xfId="0" applyFont="1" applyBorder="1"/>
    <xf numFmtId="0" fontId="6" fillId="0" borderId="0" xfId="0" applyFont="1" applyBorder="1"/>
    <xf numFmtId="0" fontId="5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9" fontId="2" fillId="0" borderId="5" xfId="0" quotePrefix="1" applyNumberFormat="1" applyFont="1" applyBorder="1"/>
    <xf numFmtId="0" fontId="1" fillId="0" borderId="1" xfId="0" applyFont="1" applyBorder="1" applyAlignment="1">
      <alignment horizontal="center"/>
    </xf>
    <xf numFmtId="2" fontId="2" fillId="8" borderId="5" xfId="0" applyNumberFormat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2" fillId="0" borderId="0" xfId="0" applyFont="1" applyFill="1" applyBorder="1"/>
    <xf numFmtId="0" fontId="0" fillId="0" borderId="0" xfId="0" applyFill="1" applyBorder="1"/>
    <xf numFmtId="1" fontId="1" fillId="0" borderId="0" xfId="1" applyNumberFormat="1" applyFont="1" applyFill="1" applyBorder="1" applyAlignment="1">
      <alignment horizontal="center"/>
    </xf>
    <xf numFmtId="2" fontId="0" fillId="0" borderId="0" xfId="0" applyNumberFormat="1" applyFill="1" applyBorder="1"/>
    <xf numFmtId="0" fontId="2" fillId="0" borderId="0" xfId="0" applyFont="1" applyFill="1" applyBorder="1"/>
    <xf numFmtId="2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9" fontId="0" fillId="8" borderId="5" xfId="2" applyFont="1" applyFill="1" applyBorder="1"/>
    <xf numFmtId="0" fontId="0" fillId="8" borderId="5" xfId="0" applyFill="1" applyBorder="1"/>
    <xf numFmtId="0" fontId="2" fillId="6" borderId="0" xfId="0" applyFont="1" applyFill="1" applyBorder="1" applyAlignment="1">
      <alignment horizontal="center"/>
    </xf>
    <xf numFmtId="2" fontId="2" fillId="6" borderId="0" xfId="0" applyNumberFormat="1" applyFont="1" applyFill="1" applyBorder="1"/>
    <xf numFmtId="0" fontId="2" fillId="0" borderId="0" xfId="0" applyFont="1" applyFill="1" applyBorder="1" applyAlignment="1"/>
    <xf numFmtId="0" fontId="23" fillId="6" borderId="0" xfId="0" applyFont="1" applyFill="1" applyBorder="1" applyAlignment="1">
      <alignment horizontal="center"/>
    </xf>
    <xf numFmtId="2" fontId="2" fillId="0" borderId="0" xfId="2" applyNumberFormat="1" applyFont="1" applyBorder="1" applyAlignment="1">
      <alignment horizontal="left"/>
    </xf>
    <xf numFmtId="0" fontId="23" fillId="6" borderId="0" xfId="0" applyFont="1" applyFill="1" applyBorder="1" applyAlignment="1">
      <alignment horizontal="left"/>
    </xf>
    <xf numFmtId="169" fontId="0" fillId="0" borderId="0" xfId="0" applyNumberFormat="1" applyFill="1"/>
    <xf numFmtId="2" fontId="2" fillId="8" borderId="5" xfId="0" applyNumberFormat="1" applyFont="1" applyFill="1" applyBorder="1"/>
    <xf numFmtId="1" fontId="1" fillId="0" borderId="1" xfId="1" applyNumberFormat="1" applyFont="1" applyBorder="1" applyAlignment="1">
      <alignment horizontal="center"/>
    </xf>
    <xf numFmtId="0" fontId="20" fillId="7" borderId="6" xfId="0" applyFont="1" applyFill="1" applyBorder="1" applyAlignment="1">
      <alignment horizontal="center"/>
    </xf>
    <xf numFmtId="0" fontId="20" fillId="7" borderId="7" xfId="0" applyFont="1" applyFill="1" applyBorder="1" applyAlignment="1">
      <alignment horizontal="center"/>
    </xf>
    <xf numFmtId="0" fontId="20" fillId="7" borderId="8" xfId="0" applyFon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1" fontId="1" fillId="0" borderId="0" xfId="1" applyNumberFormat="1" applyFont="1" applyFill="1" applyBorder="1" applyAlignment="1">
      <alignment horizontal="center"/>
    </xf>
    <xf numFmtId="0" fontId="0" fillId="0" borderId="1" xfId="0" applyFill="1" applyBorder="1" applyAlignment="1"/>
    <xf numFmtId="0" fontId="23" fillId="0" borderId="4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Continuous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FF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>
                <a:solidFill>
                  <a:sysClr val="windowText" lastClr="000000"/>
                </a:solidFill>
              </a:rPr>
              <a:t>Portfolio Combinations</a:t>
            </a:r>
          </a:p>
        </c:rich>
      </c:tx>
      <c:layout>
        <c:manualLayout>
          <c:xMode val="edge"/>
          <c:yMode val="edge"/>
          <c:x val="0.33195636835718118"/>
          <c:y val="3.53982694336105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002853019075276E-2"/>
          <c:y val="0.135996356856777"/>
          <c:w val="0.85675032356492631"/>
          <c:h val="0.725363205031897"/>
        </c:manualLayout>
      </c:layout>
      <c:scatterChart>
        <c:scatterStyle val="lineMarker"/>
        <c:varyColors val="0"/>
        <c:ser>
          <c:idx val="0"/>
          <c:order val="0"/>
          <c:tx>
            <c:v>Portfolio sets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'Output Sheet'!$G$5:$G$4004</c:f>
              <c:numCache>
                <c:formatCode>0.00000</c:formatCode>
                <c:ptCount val="4000"/>
                <c:pt idx="0">
                  <c:v>3.0087580013285469</c:v>
                </c:pt>
                <c:pt idx="1">
                  <c:v>3.508268739570275</c:v>
                </c:pt>
                <c:pt idx="2">
                  <c:v>1.9721127356715378</c:v>
                </c:pt>
                <c:pt idx="3">
                  <c:v>2.2432785519440217</c:v>
                </c:pt>
                <c:pt idx="4">
                  <c:v>2.8412855514794617</c:v>
                </c:pt>
                <c:pt idx="5">
                  <c:v>2.022485535244281</c:v>
                </c:pt>
                <c:pt idx="6">
                  <c:v>2.7817241389484133</c:v>
                </c:pt>
                <c:pt idx="7">
                  <c:v>1.9709491215101624</c:v>
                </c:pt>
                <c:pt idx="8">
                  <c:v>5.0483028099204121</c:v>
                </c:pt>
                <c:pt idx="9">
                  <c:v>3.8117140896414226</c:v>
                </c:pt>
                <c:pt idx="10">
                  <c:v>2.3041828692612079</c:v>
                </c:pt>
                <c:pt idx="11">
                  <c:v>2.0578267977738314</c:v>
                </c:pt>
                <c:pt idx="12">
                  <c:v>3.2178136994037185</c:v>
                </c:pt>
                <c:pt idx="13">
                  <c:v>2.6390308682130028</c:v>
                </c:pt>
                <c:pt idx="14">
                  <c:v>2.6197210465462084</c:v>
                </c:pt>
                <c:pt idx="15">
                  <c:v>2.6897357107827036</c:v>
                </c:pt>
                <c:pt idx="16">
                  <c:v>2.1963092896920893</c:v>
                </c:pt>
                <c:pt idx="17">
                  <c:v>4.2459760086129226</c:v>
                </c:pt>
                <c:pt idx="18">
                  <c:v>2.3355632892336615</c:v>
                </c:pt>
                <c:pt idx="19">
                  <c:v>2.0346520102989425</c:v>
                </c:pt>
                <c:pt idx="20">
                  <c:v>2.0278177760706835</c:v>
                </c:pt>
                <c:pt idx="21">
                  <c:v>5.2719431554937408</c:v>
                </c:pt>
                <c:pt idx="22">
                  <c:v>4.5386823621193244</c:v>
                </c:pt>
                <c:pt idx="23">
                  <c:v>1.992342333309139</c:v>
                </c:pt>
                <c:pt idx="24">
                  <c:v>4.5957537291998687</c:v>
                </c:pt>
                <c:pt idx="25">
                  <c:v>2.4163462940808973</c:v>
                </c:pt>
                <c:pt idx="26">
                  <c:v>1.9251823328304463</c:v>
                </c:pt>
                <c:pt idx="27">
                  <c:v>3.7379225062557966</c:v>
                </c:pt>
                <c:pt idx="28">
                  <c:v>3.3370014844547913</c:v>
                </c:pt>
                <c:pt idx="29">
                  <c:v>1.910419789717092</c:v>
                </c:pt>
                <c:pt idx="30">
                  <c:v>2.6754372508546624</c:v>
                </c:pt>
                <c:pt idx="31">
                  <c:v>3.6111220747224273</c:v>
                </c:pt>
                <c:pt idx="32">
                  <c:v>3.9790129750039229</c:v>
                </c:pt>
                <c:pt idx="33">
                  <c:v>1.9259047423470288</c:v>
                </c:pt>
                <c:pt idx="34">
                  <c:v>1.9403111387868235</c:v>
                </c:pt>
                <c:pt idx="35">
                  <c:v>4.1073151209551337</c:v>
                </c:pt>
                <c:pt idx="36">
                  <c:v>3.5493518591527873</c:v>
                </c:pt>
                <c:pt idx="37">
                  <c:v>1.924191282930322</c:v>
                </c:pt>
                <c:pt idx="38">
                  <c:v>2.6899883214782889</c:v>
                </c:pt>
                <c:pt idx="39">
                  <c:v>4.3214065833143867</c:v>
                </c:pt>
                <c:pt idx="40">
                  <c:v>2.457626563001662</c:v>
                </c:pt>
                <c:pt idx="41">
                  <c:v>2.7851521509777291</c:v>
                </c:pt>
                <c:pt idx="42">
                  <c:v>2.1736606612510445</c:v>
                </c:pt>
                <c:pt idx="43">
                  <c:v>3.5811238025799108</c:v>
                </c:pt>
                <c:pt idx="44">
                  <c:v>3.0327279487972554</c:v>
                </c:pt>
                <c:pt idx="45">
                  <c:v>2.8009997027267888</c:v>
                </c:pt>
                <c:pt idx="46">
                  <c:v>2.5364018865491316</c:v>
                </c:pt>
                <c:pt idx="47">
                  <c:v>4.4083057188050585</c:v>
                </c:pt>
                <c:pt idx="48">
                  <c:v>1.9105331158571019</c:v>
                </c:pt>
                <c:pt idx="49">
                  <c:v>1.9589796952641654</c:v>
                </c:pt>
                <c:pt idx="50">
                  <c:v>2.3801498850101259</c:v>
                </c:pt>
                <c:pt idx="51">
                  <c:v>1.9304246894539465</c:v>
                </c:pt>
                <c:pt idx="52">
                  <c:v>1.9886870813054971</c:v>
                </c:pt>
                <c:pt idx="53">
                  <c:v>4.1080900059657592</c:v>
                </c:pt>
                <c:pt idx="54">
                  <c:v>3.1063425079375824</c:v>
                </c:pt>
                <c:pt idx="55">
                  <c:v>2.9843776975253138</c:v>
                </c:pt>
                <c:pt idx="56">
                  <c:v>1.9814713651123308</c:v>
                </c:pt>
                <c:pt idx="57">
                  <c:v>2.2115520335928385</c:v>
                </c:pt>
                <c:pt idx="58">
                  <c:v>2.3437264766876278</c:v>
                </c:pt>
                <c:pt idx="59">
                  <c:v>2.0601007659746116</c:v>
                </c:pt>
                <c:pt idx="60">
                  <c:v>2.3255534964155746</c:v>
                </c:pt>
                <c:pt idx="61">
                  <c:v>3.8022836186763485</c:v>
                </c:pt>
                <c:pt idx="62">
                  <c:v>2.3039715615536007</c:v>
                </c:pt>
                <c:pt idx="63">
                  <c:v>2.9002819708428871</c:v>
                </c:pt>
                <c:pt idx="64">
                  <c:v>4.8758091717235557</c:v>
                </c:pt>
                <c:pt idx="65">
                  <c:v>1.9134412920122441</c:v>
                </c:pt>
                <c:pt idx="66">
                  <c:v>2.9621071747039909</c:v>
                </c:pt>
                <c:pt idx="67">
                  <c:v>1.9184917005436768</c:v>
                </c:pt>
                <c:pt idx="68">
                  <c:v>3.3489522300062635</c:v>
                </c:pt>
                <c:pt idx="69">
                  <c:v>2.008210666271117</c:v>
                </c:pt>
                <c:pt idx="70">
                  <c:v>2.5327036442615336</c:v>
                </c:pt>
                <c:pt idx="71">
                  <c:v>3.7046852766854048</c:v>
                </c:pt>
                <c:pt idx="72">
                  <c:v>4.1044789647489779</c:v>
                </c:pt>
                <c:pt idx="73">
                  <c:v>4.1091762305020563</c:v>
                </c:pt>
                <c:pt idx="74">
                  <c:v>4.8441190866284982</c:v>
                </c:pt>
                <c:pt idx="75">
                  <c:v>3.2589782863471277</c:v>
                </c:pt>
                <c:pt idx="76">
                  <c:v>2.8550726372754185</c:v>
                </c:pt>
                <c:pt idx="77">
                  <c:v>1.9851612658467261</c:v>
                </c:pt>
                <c:pt idx="78">
                  <c:v>3.9093452826961026</c:v>
                </c:pt>
                <c:pt idx="79">
                  <c:v>2.0469592742663134</c:v>
                </c:pt>
                <c:pt idx="80">
                  <c:v>3.8323414044123436</c:v>
                </c:pt>
                <c:pt idx="81">
                  <c:v>2.0696073256975782</c:v>
                </c:pt>
                <c:pt idx="82">
                  <c:v>2.3831919186384303</c:v>
                </c:pt>
                <c:pt idx="83">
                  <c:v>2.0522678233760314</c:v>
                </c:pt>
                <c:pt idx="84">
                  <c:v>1.9116189360239568</c:v>
                </c:pt>
                <c:pt idx="85">
                  <c:v>2.4231112437771194</c:v>
                </c:pt>
                <c:pt idx="86">
                  <c:v>3.8898707166794395</c:v>
                </c:pt>
                <c:pt idx="87">
                  <c:v>4.647128772847374</c:v>
                </c:pt>
                <c:pt idx="88">
                  <c:v>3.1984777680909993</c:v>
                </c:pt>
                <c:pt idx="89">
                  <c:v>4.7792601626074518</c:v>
                </c:pt>
                <c:pt idx="90">
                  <c:v>3.1519368372574283</c:v>
                </c:pt>
                <c:pt idx="91">
                  <c:v>3.6850579720940937</c:v>
                </c:pt>
                <c:pt idx="92">
                  <c:v>3.6125482027884512</c:v>
                </c:pt>
                <c:pt idx="93">
                  <c:v>4.7246480980847476</c:v>
                </c:pt>
                <c:pt idx="94">
                  <c:v>2.0714318976756894</c:v>
                </c:pt>
                <c:pt idx="95">
                  <c:v>2.1912994355545385</c:v>
                </c:pt>
                <c:pt idx="96">
                  <c:v>3.0102835379098578</c:v>
                </c:pt>
                <c:pt idx="97">
                  <c:v>2.7108634916396182</c:v>
                </c:pt>
                <c:pt idx="98">
                  <c:v>2.6048921502752571</c:v>
                </c:pt>
                <c:pt idx="99">
                  <c:v>3.938106565084734</c:v>
                </c:pt>
                <c:pt idx="100">
                  <c:v>2.8917929865161942</c:v>
                </c:pt>
                <c:pt idx="101">
                  <c:v>4.2151846115561593</c:v>
                </c:pt>
                <c:pt idx="102">
                  <c:v>2.4217127974567503</c:v>
                </c:pt>
                <c:pt idx="103">
                  <c:v>3.1658501529326895</c:v>
                </c:pt>
                <c:pt idx="104">
                  <c:v>2.4964834991433205</c:v>
                </c:pt>
                <c:pt idx="105">
                  <c:v>1.9552612351670673</c:v>
                </c:pt>
                <c:pt idx="106">
                  <c:v>2.3482731594042385</c:v>
                </c:pt>
                <c:pt idx="107">
                  <c:v>3.7153718105358893</c:v>
                </c:pt>
                <c:pt idx="108">
                  <c:v>2.7190180656356278</c:v>
                </c:pt>
                <c:pt idx="109">
                  <c:v>1.9136660493993236</c:v>
                </c:pt>
                <c:pt idx="110">
                  <c:v>1.9658783835129774</c:v>
                </c:pt>
                <c:pt idx="111">
                  <c:v>1.9938493647679094</c:v>
                </c:pt>
                <c:pt idx="112">
                  <c:v>3.7679470218216875</c:v>
                </c:pt>
                <c:pt idx="113">
                  <c:v>2.5860271972075437</c:v>
                </c:pt>
                <c:pt idx="114">
                  <c:v>2.4295284731168323</c:v>
                </c:pt>
                <c:pt idx="115">
                  <c:v>1.92436691430491</c:v>
                </c:pt>
                <c:pt idx="116">
                  <c:v>1.9189532786232015</c:v>
                </c:pt>
                <c:pt idx="117">
                  <c:v>2.7595299654500449</c:v>
                </c:pt>
                <c:pt idx="118">
                  <c:v>3.5590541811616379</c:v>
                </c:pt>
                <c:pt idx="119">
                  <c:v>4.2141430014654286</c:v>
                </c:pt>
                <c:pt idx="120">
                  <c:v>2.2795054542357298</c:v>
                </c:pt>
                <c:pt idx="121">
                  <c:v>2.107673715976957</c:v>
                </c:pt>
                <c:pt idx="122">
                  <c:v>2.6263487627298874</c:v>
                </c:pt>
                <c:pt idx="123">
                  <c:v>2.0410712498890211</c:v>
                </c:pt>
                <c:pt idx="124">
                  <c:v>2.6738804470007689</c:v>
                </c:pt>
                <c:pt idx="125">
                  <c:v>2.0193302989412114</c:v>
                </c:pt>
                <c:pt idx="126">
                  <c:v>4.782212843659555</c:v>
                </c:pt>
                <c:pt idx="127">
                  <c:v>2.5563650059598344</c:v>
                </c:pt>
                <c:pt idx="128">
                  <c:v>2.1886231711125705</c:v>
                </c:pt>
                <c:pt idx="129">
                  <c:v>3.1282895091869047</c:v>
                </c:pt>
                <c:pt idx="130">
                  <c:v>2.9197125227129863</c:v>
                </c:pt>
                <c:pt idx="131">
                  <c:v>3.2889565202745361</c:v>
                </c:pt>
                <c:pt idx="132">
                  <c:v>3.8290086956117615</c:v>
                </c:pt>
                <c:pt idx="133">
                  <c:v>2.4756718988825823</c:v>
                </c:pt>
                <c:pt idx="134">
                  <c:v>4.7365431460997511</c:v>
                </c:pt>
                <c:pt idx="135">
                  <c:v>3.4191693254555271</c:v>
                </c:pt>
                <c:pt idx="136">
                  <c:v>2.1547421237804576</c:v>
                </c:pt>
                <c:pt idx="137">
                  <c:v>1.9377515348065406</c:v>
                </c:pt>
                <c:pt idx="138">
                  <c:v>3.3613139771273466</c:v>
                </c:pt>
                <c:pt idx="139">
                  <c:v>2.0901880876030683</c:v>
                </c:pt>
                <c:pt idx="140">
                  <c:v>2.1685099475667062</c:v>
                </c:pt>
                <c:pt idx="141">
                  <c:v>3.0826271446935181</c:v>
                </c:pt>
                <c:pt idx="142">
                  <c:v>4.1517113539145383</c:v>
                </c:pt>
                <c:pt idx="143">
                  <c:v>2.122133069409903</c:v>
                </c:pt>
                <c:pt idx="144">
                  <c:v>2.2156511789234394</c:v>
                </c:pt>
                <c:pt idx="145">
                  <c:v>3.1528051245168762</c:v>
                </c:pt>
                <c:pt idx="146">
                  <c:v>4.9045807471742666</c:v>
                </c:pt>
                <c:pt idx="147">
                  <c:v>2.7690992507876149</c:v>
                </c:pt>
                <c:pt idx="148">
                  <c:v>4.0273598165604918</c:v>
                </c:pt>
                <c:pt idx="149">
                  <c:v>2.3064285974558207</c:v>
                </c:pt>
                <c:pt idx="150">
                  <c:v>5.0506998341049663</c:v>
                </c:pt>
                <c:pt idx="151">
                  <c:v>2.3042586131674647</c:v>
                </c:pt>
                <c:pt idx="152">
                  <c:v>3.7474801065244057</c:v>
                </c:pt>
                <c:pt idx="153">
                  <c:v>2.9019171476738697</c:v>
                </c:pt>
                <c:pt idx="154">
                  <c:v>2.3807828111331739</c:v>
                </c:pt>
                <c:pt idx="155">
                  <c:v>3.5660030017010609</c:v>
                </c:pt>
                <c:pt idx="156">
                  <c:v>1.9922884067750739</c:v>
                </c:pt>
                <c:pt idx="157">
                  <c:v>2.8375636781160232</c:v>
                </c:pt>
                <c:pt idx="158">
                  <c:v>5.1756230565368044</c:v>
                </c:pt>
                <c:pt idx="159">
                  <c:v>2.7065155162965153</c:v>
                </c:pt>
                <c:pt idx="160">
                  <c:v>2.9461050111597902</c:v>
                </c:pt>
                <c:pt idx="161">
                  <c:v>1.9677882972875358</c:v>
                </c:pt>
                <c:pt idx="162">
                  <c:v>2.3953991922543181</c:v>
                </c:pt>
                <c:pt idx="163">
                  <c:v>3.8298232773703771</c:v>
                </c:pt>
                <c:pt idx="164">
                  <c:v>3.7210818677570785</c:v>
                </c:pt>
                <c:pt idx="165">
                  <c:v>1.9982715263481534</c:v>
                </c:pt>
                <c:pt idx="166">
                  <c:v>2.0674288066854465</c:v>
                </c:pt>
                <c:pt idx="167">
                  <c:v>1.9111281802557505</c:v>
                </c:pt>
                <c:pt idx="168">
                  <c:v>3.2620338366219599</c:v>
                </c:pt>
                <c:pt idx="169">
                  <c:v>2.0302389757418928</c:v>
                </c:pt>
                <c:pt idx="170">
                  <c:v>2.2352427069598888</c:v>
                </c:pt>
                <c:pt idx="171">
                  <c:v>3.2130747987263319</c:v>
                </c:pt>
                <c:pt idx="172">
                  <c:v>4.074666808836394</c:v>
                </c:pt>
                <c:pt idx="173">
                  <c:v>3.1218379209940426</c:v>
                </c:pt>
                <c:pt idx="174">
                  <c:v>5.3639386671236844</c:v>
                </c:pt>
                <c:pt idx="175">
                  <c:v>2.5478966084328771</c:v>
                </c:pt>
                <c:pt idx="176">
                  <c:v>1.9775521279010484</c:v>
                </c:pt>
                <c:pt idx="177">
                  <c:v>2.0797846156823288</c:v>
                </c:pt>
                <c:pt idx="178">
                  <c:v>3.3090869207823199</c:v>
                </c:pt>
                <c:pt idx="179">
                  <c:v>1.9304324111841262</c:v>
                </c:pt>
                <c:pt idx="180">
                  <c:v>2.0564714896601455</c:v>
                </c:pt>
                <c:pt idx="181">
                  <c:v>1.9731100091067724</c:v>
                </c:pt>
                <c:pt idx="182">
                  <c:v>1.9103727285817591</c:v>
                </c:pt>
                <c:pt idx="183">
                  <c:v>4.2270365295933843</c:v>
                </c:pt>
                <c:pt idx="184">
                  <c:v>4.7686590406634828</c:v>
                </c:pt>
                <c:pt idx="185">
                  <c:v>3.2046242179249012</c:v>
                </c:pt>
                <c:pt idx="186">
                  <c:v>2.27827400722482</c:v>
                </c:pt>
                <c:pt idx="187">
                  <c:v>3.6922897984471041</c:v>
                </c:pt>
                <c:pt idx="188">
                  <c:v>4.9337577098404273</c:v>
                </c:pt>
                <c:pt idx="189">
                  <c:v>2.1718276395838201</c:v>
                </c:pt>
                <c:pt idx="190">
                  <c:v>2.2600417021266161</c:v>
                </c:pt>
                <c:pt idx="191">
                  <c:v>2.3917595388880213</c:v>
                </c:pt>
                <c:pt idx="192">
                  <c:v>2.043261701427006</c:v>
                </c:pt>
                <c:pt idx="193">
                  <c:v>3.8348781363245532</c:v>
                </c:pt>
                <c:pt idx="194">
                  <c:v>4.7557041721740267</c:v>
                </c:pt>
                <c:pt idx="195">
                  <c:v>2.3546672584765789</c:v>
                </c:pt>
                <c:pt idx="196">
                  <c:v>1.910932909450541</c:v>
                </c:pt>
                <c:pt idx="197">
                  <c:v>3.457651546025879</c:v>
                </c:pt>
                <c:pt idx="198">
                  <c:v>2.2481688879539776</c:v>
                </c:pt>
                <c:pt idx="199">
                  <c:v>3.6097531089020936</c:v>
                </c:pt>
                <c:pt idx="200">
                  <c:v>2.1988134748525301</c:v>
                </c:pt>
                <c:pt idx="201">
                  <c:v>3.8520560576484129</c:v>
                </c:pt>
                <c:pt idx="202">
                  <c:v>4.5961094462508321</c:v>
                </c:pt>
                <c:pt idx="203">
                  <c:v>1.9170195827197345</c:v>
                </c:pt>
                <c:pt idx="204">
                  <c:v>3.8714282025020474</c:v>
                </c:pt>
                <c:pt idx="205">
                  <c:v>3.566658546870916</c:v>
                </c:pt>
                <c:pt idx="206">
                  <c:v>2.2728635580207928</c:v>
                </c:pt>
                <c:pt idx="207">
                  <c:v>1.9672213212423206</c:v>
                </c:pt>
                <c:pt idx="208">
                  <c:v>2.7744403909171544</c:v>
                </c:pt>
                <c:pt idx="209">
                  <c:v>3.258846184219482</c:v>
                </c:pt>
                <c:pt idx="210">
                  <c:v>2.106365825720419</c:v>
                </c:pt>
                <c:pt idx="211">
                  <c:v>3.5110555396704726</c:v>
                </c:pt>
                <c:pt idx="212">
                  <c:v>2.8150558228848244</c:v>
                </c:pt>
                <c:pt idx="213">
                  <c:v>2.4446160246651401</c:v>
                </c:pt>
                <c:pt idx="214">
                  <c:v>2.1537830941404841</c:v>
                </c:pt>
                <c:pt idx="215">
                  <c:v>2.1951724170728131</c:v>
                </c:pt>
                <c:pt idx="216">
                  <c:v>2.6717318983691287</c:v>
                </c:pt>
                <c:pt idx="217">
                  <c:v>2.3710917891150021</c:v>
                </c:pt>
                <c:pt idx="218">
                  <c:v>2.3126934055927846</c:v>
                </c:pt>
                <c:pt idx="219">
                  <c:v>3.8772258985453099</c:v>
                </c:pt>
                <c:pt idx="220">
                  <c:v>2.1619233139348024</c:v>
                </c:pt>
                <c:pt idx="221">
                  <c:v>3.2885356486269917</c:v>
                </c:pt>
                <c:pt idx="222">
                  <c:v>2.9329354849870191</c:v>
                </c:pt>
                <c:pt idx="223">
                  <c:v>4.9327601698083026</c:v>
                </c:pt>
                <c:pt idx="224">
                  <c:v>3.8298476618825497</c:v>
                </c:pt>
                <c:pt idx="225">
                  <c:v>2.7177794347286359</c:v>
                </c:pt>
                <c:pt idx="226">
                  <c:v>2.8750114855822977</c:v>
                </c:pt>
                <c:pt idx="227">
                  <c:v>2.0904027535676799</c:v>
                </c:pt>
                <c:pt idx="228">
                  <c:v>4.2022542372756861</c:v>
                </c:pt>
                <c:pt idx="229">
                  <c:v>1.910439434905328</c:v>
                </c:pt>
                <c:pt idx="230">
                  <c:v>2.1506856478609833</c:v>
                </c:pt>
                <c:pt idx="231">
                  <c:v>4.6003581258848376</c:v>
                </c:pt>
                <c:pt idx="232">
                  <c:v>1.9625485971323979</c:v>
                </c:pt>
                <c:pt idx="233">
                  <c:v>2.3408493500000009</c:v>
                </c:pt>
                <c:pt idx="234">
                  <c:v>2.7397983331289759</c:v>
                </c:pt>
                <c:pt idx="235">
                  <c:v>3.8121117056438103</c:v>
                </c:pt>
                <c:pt idx="236">
                  <c:v>2.6114034807850746</c:v>
                </c:pt>
                <c:pt idx="237">
                  <c:v>3.5390649437704336</c:v>
                </c:pt>
                <c:pt idx="238">
                  <c:v>2.7907924827552346</c:v>
                </c:pt>
                <c:pt idx="239">
                  <c:v>2.0056446673806985</c:v>
                </c:pt>
                <c:pt idx="240">
                  <c:v>2.9419359834257683</c:v>
                </c:pt>
                <c:pt idx="241">
                  <c:v>1.9668748376840641</c:v>
                </c:pt>
                <c:pt idx="242">
                  <c:v>3.2691068329173842</c:v>
                </c:pt>
                <c:pt idx="243">
                  <c:v>4.0265917136788243</c:v>
                </c:pt>
                <c:pt idx="244">
                  <c:v>2.3862241694158937</c:v>
                </c:pt>
                <c:pt idx="245">
                  <c:v>2.4042956433314937</c:v>
                </c:pt>
                <c:pt idx="246">
                  <c:v>2.1555745935533119</c:v>
                </c:pt>
                <c:pt idx="247">
                  <c:v>2.9811566776049316</c:v>
                </c:pt>
                <c:pt idx="248">
                  <c:v>2.6365756814814199</c:v>
                </c:pt>
                <c:pt idx="249">
                  <c:v>2.1124008232235068</c:v>
                </c:pt>
                <c:pt idx="250">
                  <c:v>2.5980531974266254</c:v>
                </c:pt>
                <c:pt idx="251">
                  <c:v>1.9439047173018211</c:v>
                </c:pt>
                <c:pt idx="252">
                  <c:v>4.5274737723450036</c:v>
                </c:pt>
                <c:pt idx="253">
                  <c:v>2.2562302742241274</c:v>
                </c:pt>
                <c:pt idx="254">
                  <c:v>2.9188684376345191</c:v>
                </c:pt>
                <c:pt idx="255">
                  <c:v>2.6374231096937364</c:v>
                </c:pt>
                <c:pt idx="256">
                  <c:v>2.8032130262911243</c:v>
                </c:pt>
                <c:pt idx="257">
                  <c:v>4.6632879098732287</c:v>
                </c:pt>
                <c:pt idx="258">
                  <c:v>2.2618986069564255</c:v>
                </c:pt>
                <c:pt idx="259">
                  <c:v>2.0006331009436873</c:v>
                </c:pt>
                <c:pt idx="260">
                  <c:v>2.4061858481083891</c:v>
                </c:pt>
                <c:pt idx="261">
                  <c:v>2.3427277529614616</c:v>
                </c:pt>
                <c:pt idx="262">
                  <c:v>2.0288341983124054</c:v>
                </c:pt>
                <c:pt idx="263">
                  <c:v>1.9309060565486023</c:v>
                </c:pt>
                <c:pt idx="264">
                  <c:v>2.8576306229715094</c:v>
                </c:pt>
                <c:pt idx="265">
                  <c:v>3.3879894611756165</c:v>
                </c:pt>
                <c:pt idx="266">
                  <c:v>2.8735967907015953</c:v>
                </c:pt>
                <c:pt idx="267">
                  <c:v>3.0192638456185197</c:v>
                </c:pt>
                <c:pt idx="268">
                  <c:v>4.3450345217080439</c:v>
                </c:pt>
                <c:pt idx="269">
                  <c:v>1.9108187119958557</c:v>
                </c:pt>
                <c:pt idx="270">
                  <c:v>2.444897714370343</c:v>
                </c:pt>
                <c:pt idx="271">
                  <c:v>2.0863209610688092</c:v>
                </c:pt>
                <c:pt idx="272">
                  <c:v>5.1528564880807934</c:v>
                </c:pt>
                <c:pt idx="273">
                  <c:v>3.2711478826146942</c:v>
                </c:pt>
                <c:pt idx="274">
                  <c:v>1.938745650211505</c:v>
                </c:pt>
                <c:pt idx="275">
                  <c:v>2.6393430703146241</c:v>
                </c:pt>
                <c:pt idx="276">
                  <c:v>5.2770779808817663</c:v>
                </c:pt>
                <c:pt idx="277">
                  <c:v>2.306591509753384</c:v>
                </c:pt>
                <c:pt idx="278">
                  <c:v>2.2713884740540595</c:v>
                </c:pt>
                <c:pt idx="279">
                  <c:v>1.9104444663505842</c:v>
                </c:pt>
                <c:pt idx="280">
                  <c:v>2.3501781562043331</c:v>
                </c:pt>
                <c:pt idx="281">
                  <c:v>2.3709118202490331</c:v>
                </c:pt>
                <c:pt idx="282">
                  <c:v>3.3766875819319337</c:v>
                </c:pt>
                <c:pt idx="283">
                  <c:v>2.4583765620622171</c:v>
                </c:pt>
                <c:pt idx="284">
                  <c:v>3.2591461201374647</c:v>
                </c:pt>
                <c:pt idx="285">
                  <c:v>4.3168940192475533</c:v>
                </c:pt>
                <c:pt idx="286">
                  <c:v>2.3407231198670546</c:v>
                </c:pt>
                <c:pt idx="287">
                  <c:v>3.0020935348807694</c:v>
                </c:pt>
                <c:pt idx="288">
                  <c:v>2.4567098764391702</c:v>
                </c:pt>
                <c:pt idx="289">
                  <c:v>2.1072810425776236</c:v>
                </c:pt>
                <c:pt idx="290">
                  <c:v>2.7266486221254032</c:v>
                </c:pt>
                <c:pt idx="291">
                  <c:v>4.1954039817901165</c:v>
                </c:pt>
                <c:pt idx="292">
                  <c:v>4.9181915878777955</c:v>
                </c:pt>
                <c:pt idx="293">
                  <c:v>1.9105123653699307</c:v>
                </c:pt>
                <c:pt idx="294">
                  <c:v>4.1793513584997601</c:v>
                </c:pt>
                <c:pt idx="295">
                  <c:v>2.420451326384542</c:v>
                </c:pt>
                <c:pt idx="296">
                  <c:v>4.142584864585892</c:v>
                </c:pt>
                <c:pt idx="297">
                  <c:v>1.9484706572248276</c:v>
                </c:pt>
                <c:pt idx="298">
                  <c:v>2.5210259165580715</c:v>
                </c:pt>
                <c:pt idx="299">
                  <c:v>3.7465792922928443</c:v>
                </c:pt>
                <c:pt idx="300">
                  <c:v>2.8397111124257655</c:v>
                </c:pt>
                <c:pt idx="301">
                  <c:v>4.2484105119322413</c:v>
                </c:pt>
                <c:pt idx="302">
                  <c:v>2.2533411550876998</c:v>
                </c:pt>
                <c:pt idx="303">
                  <c:v>3.34113991240643</c:v>
                </c:pt>
                <c:pt idx="304">
                  <c:v>2.5904136277377181</c:v>
                </c:pt>
                <c:pt idx="305">
                  <c:v>3.6636853974124963</c:v>
                </c:pt>
                <c:pt idx="306">
                  <c:v>2.3941091553970479</c:v>
                </c:pt>
                <c:pt idx="307">
                  <c:v>3.1676357831089188</c:v>
                </c:pt>
                <c:pt idx="308">
                  <c:v>1.9625266882055821</c:v>
                </c:pt>
                <c:pt idx="309">
                  <c:v>2.9551676134355147</c:v>
                </c:pt>
                <c:pt idx="310">
                  <c:v>2.4300420947358625</c:v>
                </c:pt>
                <c:pt idx="311">
                  <c:v>2.4622677516057987</c:v>
                </c:pt>
                <c:pt idx="312">
                  <c:v>2.1279354841588956</c:v>
                </c:pt>
                <c:pt idx="313">
                  <c:v>3.8259343640121277</c:v>
                </c:pt>
                <c:pt idx="314">
                  <c:v>1.9120674230330232</c:v>
                </c:pt>
                <c:pt idx="315">
                  <c:v>3.5949228341382784</c:v>
                </c:pt>
                <c:pt idx="316">
                  <c:v>2.1402005378135294</c:v>
                </c:pt>
                <c:pt idx="317">
                  <c:v>2.2074215117757876</c:v>
                </c:pt>
                <c:pt idx="318">
                  <c:v>3.9332889418024881</c:v>
                </c:pt>
                <c:pt idx="319">
                  <c:v>4.0237704761470861</c:v>
                </c:pt>
                <c:pt idx="320">
                  <c:v>4.103543287805282</c:v>
                </c:pt>
                <c:pt idx="321">
                  <c:v>3.5167619974804016</c:v>
                </c:pt>
                <c:pt idx="322">
                  <c:v>3.8380911412702496</c:v>
                </c:pt>
                <c:pt idx="323">
                  <c:v>4.3572091890947497</c:v>
                </c:pt>
                <c:pt idx="324">
                  <c:v>4.2703041192158171</c:v>
                </c:pt>
                <c:pt idx="325">
                  <c:v>2.7798708723140853</c:v>
                </c:pt>
                <c:pt idx="326">
                  <c:v>5.121456507986788</c:v>
                </c:pt>
                <c:pt idx="327">
                  <c:v>3.6930640353388928</c:v>
                </c:pt>
                <c:pt idx="328">
                  <c:v>2.0081040296641066</c:v>
                </c:pt>
                <c:pt idx="329">
                  <c:v>2.2626471964037496</c:v>
                </c:pt>
                <c:pt idx="330">
                  <c:v>3.1560277034393849</c:v>
                </c:pt>
                <c:pt idx="331">
                  <c:v>4.0249692350256616</c:v>
                </c:pt>
                <c:pt idx="332">
                  <c:v>3.9005368423300943</c:v>
                </c:pt>
                <c:pt idx="333">
                  <c:v>2.6887322614033908</c:v>
                </c:pt>
                <c:pt idx="334">
                  <c:v>2.7622264899637869</c:v>
                </c:pt>
                <c:pt idx="335">
                  <c:v>2.5723026857801292</c:v>
                </c:pt>
                <c:pt idx="336">
                  <c:v>2.0477177967031772</c:v>
                </c:pt>
                <c:pt idx="337">
                  <c:v>2.569052225361466</c:v>
                </c:pt>
                <c:pt idx="338">
                  <c:v>2.2954313500635184</c:v>
                </c:pt>
                <c:pt idx="339">
                  <c:v>1.9501395131894217</c:v>
                </c:pt>
                <c:pt idx="340">
                  <c:v>2.5563111038991257</c:v>
                </c:pt>
                <c:pt idx="341">
                  <c:v>5.0257596239454836</c:v>
                </c:pt>
                <c:pt idx="342">
                  <c:v>3.8667180261234906</c:v>
                </c:pt>
                <c:pt idx="343">
                  <c:v>4.3005086618317367</c:v>
                </c:pt>
                <c:pt idx="344">
                  <c:v>2.1123648285684036</c:v>
                </c:pt>
                <c:pt idx="345">
                  <c:v>1.9597755627516593</c:v>
                </c:pt>
                <c:pt idx="346">
                  <c:v>3.2377037288586052</c:v>
                </c:pt>
                <c:pt idx="347">
                  <c:v>2.9434160768668165</c:v>
                </c:pt>
                <c:pt idx="348">
                  <c:v>4.0556236508387586</c:v>
                </c:pt>
                <c:pt idx="349">
                  <c:v>2.152060359930295</c:v>
                </c:pt>
                <c:pt idx="350">
                  <c:v>2.0502684370250268</c:v>
                </c:pt>
                <c:pt idx="351">
                  <c:v>2.6585598238678374</c:v>
                </c:pt>
                <c:pt idx="352">
                  <c:v>4.2247941677089225</c:v>
                </c:pt>
                <c:pt idx="353">
                  <c:v>2.127068487493299</c:v>
                </c:pt>
                <c:pt idx="354">
                  <c:v>3.5182707613991151</c:v>
                </c:pt>
                <c:pt idx="355">
                  <c:v>3.0115128864634348</c:v>
                </c:pt>
                <c:pt idx="356">
                  <c:v>1.9215905367288173</c:v>
                </c:pt>
                <c:pt idx="357">
                  <c:v>2.6952285716564979</c:v>
                </c:pt>
                <c:pt idx="358">
                  <c:v>4.6824535903802014</c:v>
                </c:pt>
                <c:pt idx="359">
                  <c:v>3.8717142314707522</c:v>
                </c:pt>
                <c:pt idx="360">
                  <c:v>1.9200482344423146</c:v>
                </c:pt>
                <c:pt idx="361">
                  <c:v>3.9396928079834046</c:v>
                </c:pt>
                <c:pt idx="362">
                  <c:v>3.3696038298063815</c:v>
                </c:pt>
                <c:pt idx="363">
                  <c:v>2.8239155446262751</c:v>
                </c:pt>
                <c:pt idx="364">
                  <c:v>2.6954254491211125</c:v>
                </c:pt>
                <c:pt idx="365">
                  <c:v>2.3055368937978402</c:v>
                </c:pt>
                <c:pt idx="366">
                  <c:v>1.9443497898233606</c:v>
                </c:pt>
                <c:pt idx="367">
                  <c:v>2.6587647628244273</c:v>
                </c:pt>
                <c:pt idx="368">
                  <c:v>3.3567402876993246</c:v>
                </c:pt>
                <c:pt idx="369">
                  <c:v>2.226859500693664</c:v>
                </c:pt>
                <c:pt idx="370">
                  <c:v>2.3025210230869204</c:v>
                </c:pt>
                <c:pt idx="371">
                  <c:v>1.9393106523462815</c:v>
                </c:pt>
                <c:pt idx="372">
                  <c:v>3.3165696614075264</c:v>
                </c:pt>
                <c:pt idx="373">
                  <c:v>5.3652041068539624</c:v>
                </c:pt>
                <c:pt idx="374">
                  <c:v>3.1933621767299929</c:v>
                </c:pt>
                <c:pt idx="375">
                  <c:v>2.2708111789175636</c:v>
                </c:pt>
                <c:pt idx="376">
                  <c:v>2.9841630288720791</c:v>
                </c:pt>
                <c:pt idx="377">
                  <c:v>4.651796234723145</c:v>
                </c:pt>
                <c:pt idx="378">
                  <c:v>2.6133541492665349</c:v>
                </c:pt>
                <c:pt idx="379">
                  <c:v>2.5438729411752741</c:v>
                </c:pt>
                <c:pt idx="380">
                  <c:v>4.8006180661353506</c:v>
                </c:pt>
                <c:pt idx="381">
                  <c:v>2.0583804806179447</c:v>
                </c:pt>
                <c:pt idx="382">
                  <c:v>1.9766446058533396</c:v>
                </c:pt>
                <c:pt idx="383">
                  <c:v>2.0534785629772263</c:v>
                </c:pt>
                <c:pt idx="384">
                  <c:v>2.1011886720872952</c:v>
                </c:pt>
                <c:pt idx="385">
                  <c:v>1.9180446489124765</c:v>
                </c:pt>
                <c:pt idx="386">
                  <c:v>4.2714175906543295</c:v>
                </c:pt>
                <c:pt idx="387">
                  <c:v>2.7015718927072525</c:v>
                </c:pt>
                <c:pt idx="388">
                  <c:v>3.2888051196649553</c:v>
                </c:pt>
                <c:pt idx="389">
                  <c:v>3.0990179034131558</c:v>
                </c:pt>
                <c:pt idx="390">
                  <c:v>1.9109701048317289</c:v>
                </c:pt>
                <c:pt idx="391">
                  <c:v>2.3457162489632148</c:v>
                </c:pt>
                <c:pt idx="392">
                  <c:v>4.6648256090560549</c:v>
                </c:pt>
                <c:pt idx="393">
                  <c:v>4.8326673250918084</c:v>
                </c:pt>
                <c:pt idx="394">
                  <c:v>2.4857190015908621</c:v>
                </c:pt>
                <c:pt idx="395">
                  <c:v>1.9211404929648359</c:v>
                </c:pt>
                <c:pt idx="396">
                  <c:v>2.2388703338127449</c:v>
                </c:pt>
                <c:pt idx="397">
                  <c:v>2.8440786708653749</c:v>
                </c:pt>
                <c:pt idx="398">
                  <c:v>2.1754294180622678</c:v>
                </c:pt>
                <c:pt idx="399">
                  <c:v>1.9264497897301276</c:v>
                </c:pt>
                <c:pt idx="400">
                  <c:v>2.4453705164098261</c:v>
                </c:pt>
                <c:pt idx="401">
                  <c:v>2.5785472984376474</c:v>
                </c:pt>
                <c:pt idx="402">
                  <c:v>1.9785231850186074</c:v>
                </c:pt>
                <c:pt idx="403">
                  <c:v>3.8160348188969131</c:v>
                </c:pt>
                <c:pt idx="404">
                  <c:v>2.6798142337489916</c:v>
                </c:pt>
                <c:pt idx="405">
                  <c:v>2.7524035297783707</c:v>
                </c:pt>
                <c:pt idx="406">
                  <c:v>1.9214777679848982</c:v>
                </c:pt>
                <c:pt idx="407">
                  <c:v>3.4391609031967629</c:v>
                </c:pt>
                <c:pt idx="408">
                  <c:v>2.9656121154228008</c:v>
                </c:pt>
                <c:pt idx="409">
                  <c:v>4.1813937448552272</c:v>
                </c:pt>
                <c:pt idx="410">
                  <c:v>4.5002570768198549</c:v>
                </c:pt>
                <c:pt idx="411">
                  <c:v>2.5267009902339193</c:v>
                </c:pt>
                <c:pt idx="412">
                  <c:v>1.9470602793460507</c:v>
                </c:pt>
                <c:pt idx="413">
                  <c:v>2.6219126404476922</c:v>
                </c:pt>
                <c:pt idx="414">
                  <c:v>4.4656656321959156</c:v>
                </c:pt>
                <c:pt idx="415">
                  <c:v>2.5321430967067529</c:v>
                </c:pt>
                <c:pt idx="416">
                  <c:v>1.971791632546166</c:v>
                </c:pt>
                <c:pt idx="417">
                  <c:v>2.4599807342984481</c:v>
                </c:pt>
                <c:pt idx="418">
                  <c:v>1.9252915153017902</c:v>
                </c:pt>
                <c:pt idx="419">
                  <c:v>3.6179583916900917</c:v>
                </c:pt>
                <c:pt idx="420">
                  <c:v>2.551346505862143</c:v>
                </c:pt>
                <c:pt idx="421">
                  <c:v>1.9801528874972165</c:v>
                </c:pt>
                <c:pt idx="422">
                  <c:v>2.0407717258437765</c:v>
                </c:pt>
                <c:pt idx="423">
                  <c:v>3.2186381377159843</c:v>
                </c:pt>
                <c:pt idx="424">
                  <c:v>3.1384609232289247</c:v>
                </c:pt>
                <c:pt idx="425">
                  <c:v>2.9821210701310688</c:v>
                </c:pt>
                <c:pt idx="426">
                  <c:v>4.2081820466960664</c:v>
                </c:pt>
                <c:pt idx="427">
                  <c:v>3.3530488463777393</c:v>
                </c:pt>
                <c:pt idx="428">
                  <c:v>2.2236989812401107</c:v>
                </c:pt>
                <c:pt idx="429">
                  <c:v>2.3383990972424913</c:v>
                </c:pt>
                <c:pt idx="430">
                  <c:v>4.6398899225767192</c:v>
                </c:pt>
                <c:pt idx="431">
                  <c:v>2.3867389627500484</c:v>
                </c:pt>
                <c:pt idx="432">
                  <c:v>1.9299258794523177</c:v>
                </c:pt>
                <c:pt idx="433">
                  <c:v>3.4531633939048971</c:v>
                </c:pt>
                <c:pt idx="434">
                  <c:v>2.1229499444386217</c:v>
                </c:pt>
                <c:pt idx="435">
                  <c:v>3.2635536322251819</c:v>
                </c:pt>
                <c:pt idx="436">
                  <c:v>2.4649705677928608</c:v>
                </c:pt>
                <c:pt idx="437">
                  <c:v>4.7312208694549156</c:v>
                </c:pt>
                <c:pt idx="438">
                  <c:v>3.4451377393076101</c:v>
                </c:pt>
                <c:pt idx="439">
                  <c:v>1.9873865561294894</c:v>
                </c:pt>
                <c:pt idx="440">
                  <c:v>2.7332243789649437</c:v>
                </c:pt>
                <c:pt idx="441">
                  <c:v>1.9122648141788918</c:v>
                </c:pt>
                <c:pt idx="442">
                  <c:v>1.9617482972531586</c:v>
                </c:pt>
                <c:pt idx="443">
                  <c:v>2.8002169207354215</c:v>
                </c:pt>
                <c:pt idx="444">
                  <c:v>4.5592101216402225</c:v>
                </c:pt>
                <c:pt idx="445">
                  <c:v>5.2673372535541674</c:v>
                </c:pt>
                <c:pt idx="446">
                  <c:v>2.5088147908589096</c:v>
                </c:pt>
                <c:pt idx="447">
                  <c:v>3.0106980451220249</c:v>
                </c:pt>
                <c:pt idx="448">
                  <c:v>4.4387678684885019</c:v>
                </c:pt>
                <c:pt idx="449">
                  <c:v>2.8427244265536693</c:v>
                </c:pt>
                <c:pt idx="450">
                  <c:v>1.9322534935498861</c:v>
                </c:pt>
                <c:pt idx="451">
                  <c:v>2.7905213644440119</c:v>
                </c:pt>
                <c:pt idx="452">
                  <c:v>1.9665028292289439</c:v>
                </c:pt>
                <c:pt idx="453">
                  <c:v>2.1802356551273934</c:v>
                </c:pt>
                <c:pt idx="454">
                  <c:v>3.9425626434804775</c:v>
                </c:pt>
                <c:pt idx="455">
                  <c:v>3.5182620319248565</c:v>
                </c:pt>
                <c:pt idx="456">
                  <c:v>3.3974522107573994</c:v>
                </c:pt>
                <c:pt idx="457">
                  <c:v>1.9682434599291632</c:v>
                </c:pt>
                <c:pt idx="458">
                  <c:v>2.886306040527745</c:v>
                </c:pt>
                <c:pt idx="459">
                  <c:v>2.5058447006304752</c:v>
                </c:pt>
                <c:pt idx="460">
                  <c:v>1.9933980859390652</c:v>
                </c:pt>
                <c:pt idx="461">
                  <c:v>3.480390507907146</c:v>
                </c:pt>
                <c:pt idx="462">
                  <c:v>2.1629870031050258</c:v>
                </c:pt>
                <c:pt idx="463">
                  <c:v>2.2644967923357822</c:v>
                </c:pt>
                <c:pt idx="464">
                  <c:v>3.4162748588048064</c:v>
                </c:pt>
                <c:pt idx="465">
                  <c:v>1.9116743922416966</c:v>
                </c:pt>
                <c:pt idx="466">
                  <c:v>2.097924077207955</c:v>
                </c:pt>
                <c:pt idx="467">
                  <c:v>2.8489460633187509</c:v>
                </c:pt>
                <c:pt idx="468">
                  <c:v>2.4799674367949214</c:v>
                </c:pt>
                <c:pt idx="469">
                  <c:v>1.9502557282071598</c:v>
                </c:pt>
                <c:pt idx="470">
                  <c:v>2.2551751405935727</c:v>
                </c:pt>
                <c:pt idx="471">
                  <c:v>4.7088400482468629</c:v>
                </c:pt>
                <c:pt idx="472">
                  <c:v>4.4916262652595282</c:v>
                </c:pt>
                <c:pt idx="473">
                  <c:v>1.9891926369045352</c:v>
                </c:pt>
                <c:pt idx="474">
                  <c:v>2.3122541418182916</c:v>
                </c:pt>
                <c:pt idx="475">
                  <c:v>3.2984941458248964</c:v>
                </c:pt>
                <c:pt idx="476">
                  <c:v>2.9459689334552239</c:v>
                </c:pt>
                <c:pt idx="477">
                  <c:v>2.1219075321065901</c:v>
                </c:pt>
                <c:pt idx="478">
                  <c:v>2.9780656947511122</c:v>
                </c:pt>
                <c:pt idx="479">
                  <c:v>2.8735507923148629</c:v>
                </c:pt>
                <c:pt idx="480">
                  <c:v>2.5363170461899633</c:v>
                </c:pt>
                <c:pt idx="481">
                  <c:v>2.1737914248835959</c:v>
                </c:pt>
                <c:pt idx="482">
                  <c:v>1.9928463729917565</c:v>
                </c:pt>
                <c:pt idx="483">
                  <c:v>1.9539205859482349</c:v>
                </c:pt>
                <c:pt idx="484">
                  <c:v>4.3778856298414119</c:v>
                </c:pt>
                <c:pt idx="485">
                  <c:v>2.8256515561406697</c:v>
                </c:pt>
                <c:pt idx="486">
                  <c:v>1.9259086866637909</c:v>
                </c:pt>
                <c:pt idx="487">
                  <c:v>2.5500215933839292</c:v>
                </c:pt>
                <c:pt idx="488">
                  <c:v>2.1815392114860672</c:v>
                </c:pt>
                <c:pt idx="489">
                  <c:v>2.6704683725417122</c:v>
                </c:pt>
                <c:pt idx="490">
                  <c:v>2.1572792377049357</c:v>
                </c:pt>
                <c:pt idx="491">
                  <c:v>3.0387219230469364</c:v>
                </c:pt>
                <c:pt idx="492">
                  <c:v>2.8194176124377495</c:v>
                </c:pt>
                <c:pt idx="493">
                  <c:v>4.5492185986605014</c:v>
                </c:pt>
                <c:pt idx="494">
                  <c:v>2.8538782665059559</c:v>
                </c:pt>
                <c:pt idx="495">
                  <c:v>2.7875720823813781</c:v>
                </c:pt>
                <c:pt idx="496">
                  <c:v>2.6844250855006315</c:v>
                </c:pt>
                <c:pt idx="497">
                  <c:v>2.2515030204686939</c:v>
                </c:pt>
                <c:pt idx="498">
                  <c:v>4.0978667876367831</c:v>
                </c:pt>
                <c:pt idx="499">
                  <c:v>2.2811680018224152</c:v>
                </c:pt>
                <c:pt idx="500">
                  <c:v>2.7184323072830368</c:v>
                </c:pt>
                <c:pt idx="501">
                  <c:v>1.9790281612265062</c:v>
                </c:pt>
                <c:pt idx="502">
                  <c:v>2.0937497771667637</c:v>
                </c:pt>
                <c:pt idx="503">
                  <c:v>2.167094024265384</c:v>
                </c:pt>
                <c:pt idx="504">
                  <c:v>4.2225316724638917</c:v>
                </c:pt>
                <c:pt idx="505">
                  <c:v>3.1760756337813834</c:v>
                </c:pt>
                <c:pt idx="506">
                  <c:v>2.7530045678179405</c:v>
                </c:pt>
                <c:pt idx="507">
                  <c:v>2.4858431846765545</c:v>
                </c:pt>
                <c:pt idx="508">
                  <c:v>2.1229419323926297</c:v>
                </c:pt>
                <c:pt idx="509">
                  <c:v>2.4846570639937817</c:v>
                </c:pt>
                <c:pt idx="510">
                  <c:v>2.1296216191632582</c:v>
                </c:pt>
                <c:pt idx="511">
                  <c:v>4.1871554006386775</c:v>
                </c:pt>
                <c:pt idx="512">
                  <c:v>3.2191015751830165</c:v>
                </c:pt>
                <c:pt idx="513">
                  <c:v>2.7473800445153622</c:v>
                </c:pt>
                <c:pt idx="514">
                  <c:v>1.9180970828609816</c:v>
                </c:pt>
                <c:pt idx="515">
                  <c:v>2.3038109311556263</c:v>
                </c:pt>
                <c:pt idx="516">
                  <c:v>2.0180893052671349</c:v>
                </c:pt>
                <c:pt idx="517">
                  <c:v>3.0571887176263388</c:v>
                </c:pt>
                <c:pt idx="518">
                  <c:v>1.9386839400534981</c:v>
                </c:pt>
                <c:pt idx="519">
                  <c:v>1.9241922800855318</c:v>
                </c:pt>
                <c:pt idx="520">
                  <c:v>2.0829175676240723</c:v>
                </c:pt>
                <c:pt idx="521">
                  <c:v>3.0117255277797104</c:v>
                </c:pt>
                <c:pt idx="522">
                  <c:v>2.2097364714700367</c:v>
                </c:pt>
                <c:pt idx="523">
                  <c:v>2.8250764792139043</c:v>
                </c:pt>
                <c:pt idx="524">
                  <c:v>2.1013224975295186</c:v>
                </c:pt>
                <c:pt idx="525">
                  <c:v>1.9724860409251119</c:v>
                </c:pt>
                <c:pt idx="526">
                  <c:v>2.355194903274934</c:v>
                </c:pt>
                <c:pt idx="527">
                  <c:v>2.0747671731399948</c:v>
                </c:pt>
                <c:pt idx="528">
                  <c:v>2.1187047554626441</c:v>
                </c:pt>
                <c:pt idx="529">
                  <c:v>4.3569773277730777</c:v>
                </c:pt>
                <c:pt idx="530">
                  <c:v>5.1406956159432351</c:v>
                </c:pt>
                <c:pt idx="531">
                  <c:v>1.9225825756695234</c:v>
                </c:pt>
                <c:pt idx="532">
                  <c:v>1.9229453975882274</c:v>
                </c:pt>
                <c:pt idx="533">
                  <c:v>2.6021263619771724</c:v>
                </c:pt>
                <c:pt idx="534">
                  <c:v>2.4685997386401493</c:v>
                </c:pt>
                <c:pt idx="535">
                  <c:v>4.5756805250588739</c:v>
                </c:pt>
                <c:pt idx="536">
                  <c:v>3.7486120584534586</c:v>
                </c:pt>
                <c:pt idx="537">
                  <c:v>4.8016725329526162</c:v>
                </c:pt>
                <c:pt idx="538">
                  <c:v>3.3840601924048128</c:v>
                </c:pt>
                <c:pt idx="539">
                  <c:v>2.0151320852195167</c:v>
                </c:pt>
                <c:pt idx="540">
                  <c:v>2.0311142274009213</c:v>
                </c:pt>
                <c:pt idx="541">
                  <c:v>2.1388882866417749</c:v>
                </c:pt>
                <c:pt idx="542">
                  <c:v>2.5222596192098665</c:v>
                </c:pt>
                <c:pt idx="543">
                  <c:v>3.7913166336956152</c:v>
                </c:pt>
                <c:pt idx="544">
                  <c:v>4.0672633947491104</c:v>
                </c:pt>
                <c:pt idx="545">
                  <c:v>2.2621301427576022</c:v>
                </c:pt>
                <c:pt idx="546">
                  <c:v>2.1649467045405739</c:v>
                </c:pt>
                <c:pt idx="547">
                  <c:v>1.9115100724259697</c:v>
                </c:pt>
                <c:pt idx="548">
                  <c:v>3.1099845583404675</c:v>
                </c:pt>
                <c:pt idx="549">
                  <c:v>3.8148579591857348</c:v>
                </c:pt>
                <c:pt idx="550">
                  <c:v>2.0166215929558331</c:v>
                </c:pt>
                <c:pt idx="551">
                  <c:v>2.3613816631035469</c:v>
                </c:pt>
                <c:pt idx="552">
                  <c:v>2.1467828713749539</c:v>
                </c:pt>
                <c:pt idx="553">
                  <c:v>1.9395964641123469</c:v>
                </c:pt>
                <c:pt idx="554">
                  <c:v>2.0312255469184879</c:v>
                </c:pt>
                <c:pt idx="555">
                  <c:v>1.9306923703312744</c:v>
                </c:pt>
                <c:pt idx="556">
                  <c:v>2.1641134542857148</c:v>
                </c:pt>
                <c:pt idx="557">
                  <c:v>3.9090285893249486</c:v>
                </c:pt>
                <c:pt idx="558">
                  <c:v>2.4711615738419375</c:v>
                </c:pt>
                <c:pt idx="559">
                  <c:v>2.2849439718154625</c:v>
                </c:pt>
                <c:pt idx="560">
                  <c:v>4.8920076313208094</c:v>
                </c:pt>
                <c:pt idx="561">
                  <c:v>5.0898632236942873</c:v>
                </c:pt>
                <c:pt idx="562">
                  <c:v>2.6446471499300532</c:v>
                </c:pt>
                <c:pt idx="563">
                  <c:v>2.6839918335123665</c:v>
                </c:pt>
                <c:pt idx="564">
                  <c:v>2.7126954526180636</c:v>
                </c:pt>
                <c:pt idx="565">
                  <c:v>3.0695412051444833</c:v>
                </c:pt>
                <c:pt idx="566">
                  <c:v>4.6686980846289154</c:v>
                </c:pt>
                <c:pt idx="567">
                  <c:v>2.1476042660930132</c:v>
                </c:pt>
                <c:pt idx="568">
                  <c:v>2.0444776436394321</c:v>
                </c:pt>
                <c:pt idx="569">
                  <c:v>4.1864514492709732</c:v>
                </c:pt>
                <c:pt idx="570">
                  <c:v>2.5010210672998738</c:v>
                </c:pt>
                <c:pt idx="571">
                  <c:v>2.0281643004006868</c:v>
                </c:pt>
                <c:pt idx="572">
                  <c:v>4.2466963842853431</c:v>
                </c:pt>
                <c:pt idx="573">
                  <c:v>1.9485732356028782</c:v>
                </c:pt>
                <c:pt idx="574">
                  <c:v>2.0031031091597375</c:v>
                </c:pt>
                <c:pt idx="575">
                  <c:v>2.0693554132958933</c:v>
                </c:pt>
                <c:pt idx="576">
                  <c:v>2.2588863866408242</c:v>
                </c:pt>
                <c:pt idx="577">
                  <c:v>3.7456953582810089</c:v>
                </c:pt>
                <c:pt idx="578">
                  <c:v>4.0739190711971407</c:v>
                </c:pt>
                <c:pt idx="579">
                  <c:v>2.2933732655216081</c:v>
                </c:pt>
                <c:pt idx="580">
                  <c:v>3.3237211425745352</c:v>
                </c:pt>
                <c:pt idx="581">
                  <c:v>2.6806603329827059</c:v>
                </c:pt>
                <c:pt idx="582">
                  <c:v>3.555125649027719</c:v>
                </c:pt>
                <c:pt idx="583">
                  <c:v>3.4332997823517828</c:v>
                </c:pt>
                <c:pt idx="584">
                  <c:v>3.262516074050728</c:v>
                </c:pt>
                <c:pt idx="585">
                  <c:v>4.045167799704771</c:v>
                </c:pt>
                <c:pt idx="586">
                  <c:v>2.6383789202330132</c:v>
                </c:pt>
                <c:pt idx="587">
                  <c:v>2.4374064658996892</c:v>
                </c:pt>
                <c:pt idx="588">
                  <c:v>3.0961480150765683</c:v>
                </c:pt>
                <c:pt idx="589">
                  <c:v>2.1854554826002146</c:v>
                </c:pt>
                <c:pt idx="590">
                  <c:v>3.6346357428719629</c:v>
                </c:pt>
                <c:pt idx="591">
                  <c:v>3.3637425945283486</c:v>
                </c:pt>
                <c:pt idx="592">
                  <c:v>2.971936951814695</c:v>
                </c:pt>
                <c:pt idx="593">
                  <c:v>1.9489773956043774</c:v>
                </c:pt>
                <c:pt idx="594">
                  <c:v>2.9146862257499331</c:v>
                </c:pt>
                <c:pt idx="595">
                  <c:v>1.9133789931570089</c:v>
                </c:pt>
                <c:pt idx="596">
                  <c:v>4.7434508546651877</c:v>
                </c:pt>
                <c:pt idx="597">
                  <c:v>3.1230995040372544</c:v>
                </c:pt>
                <c:pt idx="598">
                  <c:v>2.8688536575758308</c:v>
                </c:pt>
                <c:pt idx="599">
                  <c:v>2.210741039049708</c:v>
                </c:pt>
                <c:pt idx="600">
                  <c:v>4.4890254029708281</c:v>
                </c:pt>
                <c:pt idx="601">
                  <c:v>3.4149685056328907</c:v>
                </c:pt>
                <c:pt idx="602">
                  <c:v>4.7241176719737288</c:v>
                </c:pt>
                <c:pt idx="603">
                  <c:v>2.1068421252071583</c:v>
                </c:pt>
                <c:pt idx="604">
                  <c:v>5.2925948929087401</c:v>
                </c:pt>
                <c:pt idx="605">
                  <c:v>2.309099482591535</c:v>
                </c:pt>
                <c:pt idx="606">
                  <c:v>1.9229204300123564</c:v>
                </c:pt>
                <c:pt idx="607">
                  <c:v>2.135925885142417</c:v>
                </c:pt>
                <c:pt idx="608">
                  <c:v>1.9218449383516782</c:v>
                </c:pt>
                <c:pt idx="609">
                  <c:v>3.9392242035239859</c:v>
                </c:pt>
                <c:pt idx="610">
                  <c:v>2.1475239266347952</c:v>
                </c:pt>
                <c:pt idx="611">
                  <c:v>2.3638508163344909</c:v>
                </c:pt>
                <c:pt idx="612">
                  <c:v>4.4055007313978907</c:v>
                </c:pt>
                <c:pt idx="613">
                  <c:v>4.355858061075164</c:v>
                </c:pt>
                <c:pt idx="614">
                  <c:v>3.5098336720835071</c:v>
                </c:pt>
                <c:pt idx="615">
                  <c:v>2.1883936957819565</c:v>
                </c:pt>
                <c:pt idx="616">
                  <c:v>2.5427750056032137</c:v>
                </c:pt>
                <c:pt idx="617">
                  <c:v>2.3700488165084539</c:v>
                </c:pt>
                <c:pt idx="618">
                  <c:v>2.694948189558537</c:v>
                </c:pt>
                <c:pt idx="619">
                  <c:v>2.3212929334966779</c:v>
                </c:pt>
                <c:pt idx="620">
                  <c:v>1.9241191997840086</c:v>
                </c:pt>
                <c:pt idx="621">
                  <c:v>5.0284890401890072</c:v>
                </c:pt>
                <c:pt idx="622">
                  <c:v>2.1232973886622668</c:v>
                </c:pt>
                <c:pt idx="623">
                  <c:v>2.1872175243572478</c:v>
                </c:pt>
                <c:pt idx="624">
                  <c:v>2.7303593825600068</c:v>
                </c:pt>
                <c:pt idx="625">
                  <c:v>4.0320956381863162</c:v>
                </c:pt>
                <c:pt idx="626">
                  <c:v>2.9329177145056478</c:v>
                </c:pt>
                <c:pt idx="627">
                  <c:v>4.5059881406517794</c:v>
                </c:pt>
                <c:pt idx="628">
                  <c:v>2.3511146530539104</c:v>
                </c:pt>
                <c:pt idx="629">
                  <c:v>2.748130027129144</c:v>
                </c:pt>
                <c:pt idx="630">
                  <c:v>2.7009531247330352</c:v>
                </c:pt>
                <c:pt idx="631">
                  <c:v>3.7676406194072682</c:v>
                </c:pt>
                <c:pt idx="632">
                  <c:v>4.3913782338881173</c:v>
                </c:pt>
                <c:pt idx="633">
                  <c:v>1.9250046532795488</c:v>
                </c:pt>
                <c:pt idx="634">
                  <c:v>3.1094946553780836</c:v>
                </c:pt>
                <c:pt idx="635">
                  <c:v>3.7364347413210948</c:v>
                </c:pt>
                <c:pt idx="636">
                  <c:v>2.1169731822529227</c:v>
                </c:pt>
                <c:pt idx="637">
                  <c:v>5.0836622007373524</c:v>
                </c:pt>
                <c:pt idx="638">
                  <c:v>4.8962786245156558</c:v>
                </c:pt>
                <c:pt idx="639">
                  <c:v>3.8433989251550891</c:v>
                </c:pt>
                <c:pt idx="640">
                  <c:v>5.0803787783554126</c:v>
                </c:pt>
                <c:pt idx="641">
                  <c:v>2.8900929048358934</c:v>
                </c:pt>
                <c:pt idx="642">
                  <c:v>3.4871618781938887</c:v>
                </c:pt>
                <c:pt idx="643">
                  <c:v>2.6885545239284854</c:v>
                </c:pt>
                <c:pt idx="644">
                  <c:v>2.0028966778102624</c:v>
                </c:pt>
                <c:pt idx="645">
                  <c:v>2.2499349484521005</c:v>
                </c:pt>
                <c:pt idx="646">
                  <c:v>2.0183343447942583</c:v>
                </c:pt>
                <c:pt idx="647">
                  <c:v>1.9193080985999018</c:v>
                </c:pt>
                <c:pt idx="648">
                  <c:v>2.6199275257889143</c:v>
                </c:pt>
                <c:pt idx="649">
                  <c:v>2.0832753553918684</c:v>
                </c:pt>
                <c:pt idx="650">
                  <c:v>4.4216541861273617</c:v>
                </c:pt>
                <c:pt idx="651">
                  <c:v>3.7206304130928487</c:v>
                </c:pt>
                <c:pt idx="652">
                  <c:v>2.8794066280299568</c:v>
                </c:pt>
                <c:pt idx="653">
                  <c:v>4.2534443205269392</c:v>
                </c:pt>
                <c:pt idx="654">
                  <c:v>4.5383120933022276</c:v>
                </c:pt>
                <c:pt idx="655">
                  <c:v>3.6055069667916522</c:v>
                </c:pt>
                <c:pt idx="656">
                  <c:v>1.9806052506796925</c:v>
                </c:pt>
                <c:pt idx="657">
                  <c:v>2.6228222198507187</c:v>
                </c:pt>
                <c:pt idx="658">
                  <c:v>2.5687361750922024</c:v>
                </c:pt>
                <c:pt idx="659">
                  <c:v>3.0965356892640612</c:v>
                </c:pt>
                <c:pt idx="660">
                  <c:v>2.5484395900092127</c:v>
                </c:pt>
                <c:pt idx="661">
                  <c:v>1.9621390316015908</c:v>
                </c:pt>
                <c:pt idx="662">
                  <c:v>3.5277521400248251</c:v>
                </c:pt>
                <c:pt idx="663">
                  <c:v>3.2204488991932312</c:v>
                </c:pt>
                <c:pt idx="664">
                  <c:v>2.7898808498447552</c:v>
                </c:pt>
                <c:pt idx="665">
                  <c:v>2.3957529968585543</c:v>
                </c:pt>
                <c:pt idx="666">
                  <c:v>2.934656037939289</c:v>
                </c:pt>
                <c:pt idx="667">
                  <c:v>4.0719178988369471</c:v>
                </c:pt>
                <c:pt idx="668">
                  <c:v>2.6706615698191212</c:v>
                </c:pt>
                <c:pt idx="669">
                  <c:v>3.0505332621466432</c:v>
                </c:pt>
                <c:pt idx="670">
                  <c:v>2.1327891005331212</c:v>
                </c:pt>
                <c:pt idx="671">
                  <c:v>3.0103424558524794</c:v>
                </c:pt>
                <c:pt idx="672">
                  <c:v>3.9281027990983359</c:v>
                </c:pt>
                <c:pt idx="673">
                  <c:v>3.5702613741447311</c:v>
                </c:pt>
                <c:pt idx="674">
                  <c:v>2.1470994589322721</c:v>
                </c:pt>
                <c:pt idx="675">
                  <c:v>1.9849369585665371</c:v>
                </c:pt>
                <c:pt idx="676">
                  <c:v>3.8205467645531539</c:v>
                </c:pt>
                <c:pt idx="677">
                  <c:v>2.445449730770191</c:v>
                </c:pt>
                <c:pt idx="678">
                  <c:v>3.8938502458826361</c:v>
                </c:pt>
                <c:pt idx="679">
                  <c:v>2.808503802509593</c:v>
                </c:pt>
                <c:pt idx="680">
                  <c:v>4.1703155883062113</c:v>
                </c:pt>
                <c:pt idx="681">
                  <c:v>2.4627328913301767</c:v>
                </c:pt>
                <c:pt idx="682">
                  <c:v>5.3149438669480773</c:v>
                </c:pt>
                <c:pt idx="683">
                  <c:v>2.0380928661828963</c:v>
                </c:pt>
                <c:pt idx="684">
                  <c:v>2.5743465329417488</c:v>
                </c:pt>
                <c:pt idx="685">
                  <c:v>2.0395181010806134</c:v>
                </c:pt>
                <c:pt idx="686">
                  <c:v>2.0993356142480639</c:v>
                </c:pt>
                <c:pt idx="687">
                  <c:v>2.1479527759518171</c:v>
                </c:pt>
                <c:pt idx="688">
                  <c:v>2.0099322387021163</c:v>
                </c:pt>
                <c:pt idx="689">
                  <c:v>2.5481027412471198</c:v>
                </c:pt>
                <c:pt idx="690">
                  <c:v>2.118988797797575</c:v>
                </c:pt>
                <c:pt idx="691">
                  <c:v>1.9335554446333081</c:v>
                </c:pt>
                <c:pt idx="692">
                  <c:v>4.3814879054642395</c:v>
                </c:pt>
                <c:pt idx="693">
                  <c:v>2.0385665125634786</c:v>
                </c:pt>
                <c:pt idx="694">
                  <c:v>1.9350412088107614</c:v>
                </c:pt>
                <c:pt idx="695">
                  <c:v>1.9603918600350576</c:v>
                </c:pt>
                <c:pt idx="696">
                  <c:v>3.4982222011275783</c:v>
                </c:pt>
                <c:pt idx="697">
                  <c:v>3.6665854364938073</c:v>
                </c:pt>
                <c:pt idx="698">
                  <c:v>2.7637152393056774</c:v>
                </c:pt>
                <c:pt idx="699">
                  <c:v>2.9323372392750739</c:v>
                </c:pt>
                <c:pt idx="700">
                  <c:v>2.2887390815598079</c:v>
                </c:pt>
                <c:pt idx="701">
                  <c:v>3.0437227787407393</c:v>
                </c:pt>
                <c:pt idx="702">
                  <c:v>3.0639247086179049</c:v>
                </c:pt>
                <c:pt idx="703">
                  <c:v>4.0312800700129054</c:v>
                </c:pt>
                <c:pt idx="704">
                  <c:v>2.8382506196517312</c:v>
                </c:pt>
                <c:pt idx="705">
                  <c:v>1.927278541975973</c:v>
                </c:pt>
                <c:pt idx="706">
                  <c:v>2.9283917769443484</c:v>
                </c:pt>
                <c:pt idx="707">
                  <c:v>1.9695504753436537</c:v>
                </c:pt>
                <c:pt idx="708">
                  <c:v>1.9654383469286987</c:v>
                </c:pt>
                <c:pt idx="709">
                  <c:v>3.3169755935396483</c:v>
                </c:pt>
                <c:pt idx="710">
                  <c:v>2.2485993518485121</c:v>
                </c:pt>
                <c:pt idx="711">
                  <c:v>2.3348570355356131</c:v>
                </c:pt>
                <c:pt idx="712">
                  <c:v>2.815556804432767</c:v>
                </c:pt>
                <c:pt idx="713">
                  <c:v>3.2980517149670834</c:v>
                </c:pt>
                <c:pt idx="714">
                  <c:v>2.515989417028146</c:v>
                </c:pt>
                <c:pt idx="715">
                  <c:v>4.3097235124331759</c:v>
                </c:pt>
                <c:pt idx="716">
                  <c:v>2.3605201203553658</c:v>
                </c:pt>
                <c:pt idx="717">
                  <c:v>2.4695056411960645</c:v>
                </c:pt>
                <c:pt idx="718">
                  <c:v>2.0787421761135461</c:v>
                </c:pt>
                <c:pt idx="719">
                  <c:v>3.9145261985181956</c:v>
                </c:pt>
                <c:pt idx="720">
                  <c:v>2.6830221238861034</c:v>
                </c:pt>
                <c:pt idx="721">
                  <c:v>2.6153334045038314</c:v>
                </c:pt>
                <c:pt idx="722">
                  <c:v>1.9223498752684716</c:v>
                </c:pt>
                <c:pt idx="723">
                  <c:v>1.9734284891335505</c:v>
                </c:pt>
                <c:pt idx="724">
                  <c:v>2.4254814503752762</c:v>
                </c:pt>
                <c:pt idx="725">
                  <c:v>2.0871301254418686</c:v>
                </c:pt>
                <c:pt idx="726">
                  <c:v>1.938221999938128</c:v>
                </c:pt>
                <c:pt idx="727">
                  <c:v>2.2344104046767428</c:v>
                </c:pt>
                <c:pt idx="728">
                  <c:v>2.0343731393388267</c:v>
                </c:pt>
                <c:pt idx="729">
                  <c:v>4.8401203926942706</c:v>
                </c:pt>
                <c:pt idx="730">
                  <c:v>4.1305943692297671</c:v>
                </c:pt>
                <c:pt idx="731">
                  <c:v>4.2715547279414956</c:v>
                </c:pt>
                <c:pt idx="732">
                  <c:v>2.4388074836939202</c:v>
                </c:pt>
                <c:pt idx="733">
                  <c:v>3.2859548309319817</c:v>
                </c:pt>
                <c:pt idx="734">
                  <c:v>3.7468252560097146</c:v>
                </c:pt>
                <c:pt idx="735">
                  <c:v>1.9117532321681319</c:v>
                </c:pt>
                <c:pt idx="736">
                  <c:v>2.1398800113978149</c:v>
                </c:pt>
                <c:pt idx="737">
                  <c:v>2.0984370500608089</c:v>
                </c:pt>
                <c:pt idx="738">
                  <c:v>2.0925778829382349</c:v>
                </c:pt>
                <c:pt idx="739">
                  <c:v>2.7254244898954565</c:v>
                </c:pt>
                <c:pt idx="740">
                  <c:v>2.5996789767859463</c:v>
                </c:pt>
                <c:pt idx="741">
                  <c:v>5.1895977246591967</c:v>
                </c:pt>
                <c:pt idx="742">
                  <c:v>4.8792757599911463</c:v>
                </c:pt>
                <c:pt idx="743">
                  <c:v>4.1442448297416119</c:v>
                </c:pt>
                <c:pt idx="744">
                  <c:v>2.7959698003016733</c:v>
                </c:pt>
                <c:pt idx="745">
                  <c:v>3.2767962759810554</c:v>
                </c:pt>
                <c:pt idx="746">
                  <c:v>3.8204736550525253</c:v>
                </c:pt>
                <c:pt idx="747">
                  <c:v>2.7502504368596332</c:v>
                </c:pt>
                <c:pt idx="748">
                  <c:v>1.9613846735155041</c:v>
                </c:pt>
                <c:pt idx="749">
                  <c:v>3.7370730009236883</c:v>
                </c:pt>
                <c:pt idx="750">
                  <c:v>3.3946401135805404</c:v>
                </c:pt>
                <c:pt idx="751">
                  <c:v>5.236896018591974</c:v>
                </c:pt>
                <c:pt idx="752">
                  <c:v>2.8372045299210189</c:v>
                </c:pt>
                <c:pt idx="753">
                  <c:v>3.0734547171357449</c:v>
                </c:pt>
                <c:pt idx="754">
                  <c:v>2.2575734349890491</c:v>
                </c:pt>
                <c:pt idx="755">
                  <c:v>1.9155873911506851</c:v>
                </c:pt>
                <c:pt idx="756">
                  <c:v>1.9129150310616183</c:v>
                </c:pt>
                <c:pt idx="757">
                  <c:v>2.1332726253975998</c:v>
                </c:pt>
                <c:pt idx="758">
                  <c:v>2.0179576378596926</c:v>
                </c:pt>
                <c:pt idx="759">
                  <c:v>4.3092612806080801</c:v>
                </c:pt>
                <c:pt idx="760">
                  <c:v>1.9113951507933225</c:v>
                </c:pt>
                <c:pt idx="761">
                  <c:v>2.1351828719609887</c:v>
                </c:pt>
                <c:pt idx="762">
                  <c:v>3.3322577294714923</c:v>
                </c:pt>
                <c:pt idx="763">
                  <c:v>2.277025925857731</c:v>
                </c:pt>
                <c:pt idx="764">
                  <c:v>3.4607371831257834</c:v>
                </c:pt>
                <c:pt idx="765">
                  <c:v>4.1098826454259951</c:v>
                </c:pt>
                <c:pt idx="766">
                  <c:v>4.0146044703361969</c:v>
                </c:pt>
                <c:pt idx="767">
                  <c:v>2.3190271040121893</c:v>
                </c:pt>
                <c:pt idx="768">
                  <c:v>2.1625429787223425</c:v>
                </c:pt>
                <c:pt idx="769">
                  <c:v>2.1958353012626683</c:v>
                </c:pt>
                <c:pt idx="770">
                  <c:v>1.9335234261337464</c:v>
                </c:pt>
                <c:pt idx="771">
                  <c:v>2.471512137046981</c:v>
                </c:pt>
                <c:pt idx="772">
                  <c:v>2.9237471220930296</c:v>
                </c:pt>
                <c:pt idx="773">
                  <c:v>2.2011972690958626</c:v>
                </c:pt>
                <c:pt idx="774">
                  <c:v>4.7540300093150876</c:v>
                </c:pt>
                <c:pt idx="775">
                  <c:v>1.9999750196241093</c:v>
                </c:pt>
                <c:pt idx="776">
                  <c:v>1.9149560236180778</c:v>
                </c:pt>
                <c:pt idx="777">
                  <c:v>3.93065613050122</c:v>
                </c:pt>
                <c:pt idx="778">
                  <c:v>4.2547725168914958</c:v>
                </c:pt>
                <c:pt idx="779">
                  <c:v>4.6245706964835911</c:v>
                </c:pt>
                <c:pt idx="780">
                  <c:v>3.0392628284657595</c:v>
                </c:pt>
                <c:pt idx="781">
                  <c:v>3.2913320368171939</c:v>
                </c:pt>
                <c:pt idx="782">
                  <c:v>2.9668075574863817</c:v>
                </c:pt>
                <c:pt idx="783">
                  <c:v>1.9321040687012094</c:v>
                </c:pt>
                <c:pt idx="784">
                  <c:v>2.2876497063565857</c:v>
                </c:pt>
                <c:pt idx="785">
                  <c:v>1.9108181061713407</c:v>
                </c:pt>
                <c:pt idx="786">
                  <c:v>3.1351647490348089</c:v>
                </c:pt>
                <c:pt idx="787">
                  <c:v>2.9997082047184147</c:v>
                </c:pt>
                <c:pt idx="788">
                  <c:v>3.4701357146110956</c:v>
                </c:pt>
                <c:pt idx="789">
                  <c:v>1.9815811895466746</c:v>
                </c:pt>
                <c:pt idx="790">
                  <c:v>2.2813043259035748</c:v>
                </c:pt>
                <c:pt idx="791">
                  <c:v>4.0273558850260267</c:v>
                </c:pt>
                <c:pt idx="792">
                  <c:v>2.0540872262682064</c:v>
                </c:pt>
                <c:pt idx="793">
                  <c:v>2.2523883963215341</c:v>
                </c:pt>
                <c:pt idx="794">
                  <c:v>2.1681983880577835</c:v>
                </c:pt>
                <c:pt idx="795">
                  <c:v>3.120819604883986</c:v>
                </c:pt>
                <c:pt idx="796">
                  <c:v>3.3618330770881162</c:v>
                </c:pt>
                <c:pt idx="797">
                  <c:v>1.9641088706503544</c:v>
                </c:pt>
                <c:pt idx="798">
                  <c:v>3.3779517698735906</c:v>
                </c:pt>
                <c:pt idx="799">
                  <c:v>5.1380514695800681</c:v>
                </c:pt>
                <c:pt idx="800">
                  <c:v>3.4885736921773112</c:v>
                </c:pt>
                <c:pt idx="801">
                  <c:v>4.1165677125448399</c:v>
                </c:pt>
                <c:pt idx="802">
                  <c:v>1.9238521772931174</c:v>
                </c:pt>
                <c:pt idx="803">
                  <c:v>2.1034641165068697</c:v>
                </c:pt>
                <c:pt idx="804">
                  <c:v>2.7428616587451482</c:v>
                </c:pt>
                <c:pt idx="805">
                  <c:v>2.564956058112299</c:v>
                </c:pt>
                <c:pt idx="806">
                  <c:v>2.0341335885824674</c:v>
                </c:pt>
                <c:pt idx="807">
                  <c:v>2.5055216412911165</c:v>
                </c:pt>
                <c:pt idx="808">
                  <c:v>2.7106515061664198</c:v>
                </c:pt>
                <c:pt idx="809">
                  <c:v>3.1820218452459237</c:v>
                </c:pt>
                <c:pt idx="810">
                  <c:v>1.9222309901999419</c:v>
                </c:pt>
                <c:pt idx="811">
                  <c:v>5.3014866027951495</c:v>
                </c:pt>
                <c:pt idx="812">
                  <c:v>2.1019926840020711</c:v>
                </c:pt>
                <c:pt idx="813">
                  <c:v>2.0949684540034341</c:v>
                </c:pt>
                <c:pt idx="814">
                  <c:v>3.450966906764751</c:v>
                </c:pt>
                <c:pt idx="815">
                  <c:v>2.0688166289614625</c:v>
                </c:pt>
                <c:pt idx="816">
                  <c:v>2.8752434659421859</c:v>
                </c:pt>
                <c:pt idx="817">
                  <c:v>3.9243534647038301</c:v>
                </c:pt>
                <c:pt idx="818">
                  <c:v>1.9567571601431524</c:v>
                </c:pt>
                <c:pt idx="819">
                  <c:v>2.8273290928800487</c:v>
                </c:pt>
                <c:pt idx="820">
                  <c:v>1.9440920994443938</c:v>
                </c:pt>
                <c:pt idx="821">
                  <c:v>2.1511603975336961</c:v>
                </c:pt>
                <c:pt idx="822">
                  <c:v>2.4191435683887241</c:v>
                </c:pt>
                <c:pt idx="823">
                  <c:v>3.3636885482477843</c:v>
                </c:pt>
                <c:pt idx="824">
                  <c:v>2.0260980443607659</c:v>
                </c:pt>
                <c:pt idx="825">
                  <c:v>2.7203754391052146</c:v>
                </c:pt>
                <c:pt idx="826">
                  <c:v>4.6845292939467109</c:v>
                </c:pt>
                <c:pt idx="827">
                  <c:v>3.2634786379565073</c:v>
                </c:pt>
                <c:pt idx="828">
                  <c:v>2.1837393012630812</c:v>
                </c:pt>
                <c:pt idx="829">
                  <c:v>1.9783229975884145</c:v>
                </c:pt>
                <c:pt idx="830">
                  <c:v>2.4474783814410852</c:v>
                </c:pt>
                <c:pt idx="831">
                  <c:v>3.4247943368126319</c:v>
                </c:pt>
                <c:pt idx="832">
                  <c:v>4.1883848017496845</c:v>
                </c:pt>
                <c:pt idx="833">
                  <c:v>1.9246886288657747</c:v>
                </c:pt>
                <c:pt idx="834">
                  <c:v>2.9207180960541059</c:v>
                </c:pt>
                <c:pt idx="835">
                  <c:v>5.0351445265520027</c:v>
                </c:pt>
                <c:pt idx="836">
                  <c:v>1.9694384282333843</c:v>
                </c:pt>
                <c:pt idx="837">
                  <c:v>2.9564383429181929</c:v>
                </c:pt>
                <c:pt idx="838">
                  <c:v>1.916115503724368</c:v>
                </c:pt>
                <c:pt idx="839">
                  <c:v>2.3340269858536038</c:v>
                </c:pt>
                <c:pt idx="840">
                  <c:v>2.6447690962434076</c:v>
                </c:pt>
                <c:pt idx="841">
                  <c:v>2.4454017323200743</c:v>
                </c:pt>
                <c:pt idx="842">
                  <c:v>2.5707395714083039</c:v>
                </c:pt>
                <c:pt idx="843">
                  <c:v>2.2547796601082446</c:v>
                </c:pt>
                <c:pt idx="844">
                  <c:v>1.9488145674330992</c:v>
                </c:pt>
                <c:pt idx="845">
                  <c:v>3.7505778402665926</c:v>
                </c:pt>
                <c:pt idx="846">
                  <c:v>3.7296395624534822</c:v>
                </c:pt>
                <c:pt idx="847">
                  <c:v>2.8903527038291239</c:v>
                </c:pt>
                <c:pt idx="848">
                  <c:v>2.4171993625657113</c:v>
                </c:pt>
                <c:pt idx="849">
                  <c:v>2.7984709534389784</c:v>
                </c:pt>
                <c:pt idx="850">
                  <c:v>5.3638700217613966</c:v>
                </c:pt>
                <c:pt idx="851">
                  <c:v>2.3621509167454788</c:v>
                </c:pt>
                <c:pt idx="852">
                  <c:v>2.3557589387130546</c:v>
                </c:pt>
                <c:pt idx="853">
                  <c:v>3.3326586376158973</c:v>
                </c:pt>
                <c:pt idx="854">
                  <c:v>3.7493925818675886</c:v>
                </c:pt>
                <c:pt idx="855">
                  <c:v>3.7151306089734679</c:v>
                </c:pt>
                <c:pt idx="856">
                  <c:v>2.3108488899758068</c:v>
                </c:pt>
                <c:pt idx="857">
                  <c:v>2.0461444819356776</c:v>
                </c:pt>
                <c:pt idx="858">
                  <c:v>2.5305358240462175</c:v>
                </c:pt>
                <c:pt idx="859">
                  <c:v>1.9752449027169012</c:v>
                </c:pt>
                <c:pt idx="860">
                  <c:v>2.1007139932770964</c:v>
                </c:pt>
                <c:pt idx="861">
                  <c:v>3.757492936224593</c:v>
                </c:pt>
                <c:pt idx="862">
                  <c:v>3.5711882296575448</c:v>
                </c:pt>
                <c:pt idx="863">
                  <c:v>3.6522312582899503</c:v>
                </c:pt>
                <c:pt idx="864">
                  <c:v>3.6609860313452232</c:v>
                </c:pt>
                <c:pt idx="865">
                  <c:v>2.0266222541903223</c:v>
                </c:pt>
                <c:pt idx="866">
                  <c:v>3.125519882654292</c:v>
                </c:pt>
                <c:pt idx="867">
                  <c:v>1.9110015501535249</c:v>
                </c:pt>
                <c:pt idx="868">
                  <c:v>5.2084490446494254</c:v>
                </c:pt>
                <c:pt idx="869">
                  <c:v>4.3980908239892909</c:v>
                </c:pt>
                <c:pt idx="870">
                  <c:v>1.9498525010088785</c:v>
                </c:pt>
                <c:pt idx="871">
                  <c:v>1.9196829629703251</c:v>
                </c:pt>
                <c:pt idx="872">
                  <c:v>3.5433617940780668</c:v>
                </c:pt>
                <c:pt idx="873">
                  <c:v>1.9480248160182709</c:v>
                </c:pt>
                <c:pt idx="874">
                  <c:v>2.5773334819858085</c:v>
                </c:pt>
                <c:pt idx="875">
                  <c:v>1.9831135974746037</c:v>
                </c:pt>
                <c:pt idx="876">
                  <c:v>2.0420100596031663</c:v>
                </c:pt>
                <c:pt idx="877">
                  <c:v>2.5666846379285335</c:v>
                </c:pt>
                <c:pt idx="878">
                  <c:v>3.0979875147694416</c:v>
                </c:pt>
                <c:pt idx="879">
                  <c:v>2.367381103059746</c:v>
                </c:pt>
                <c:pt idx="880">
                  <c:v>3.7459428469697795</c:v>
                </c:pt>
                <c:pt idx="881">
                  <c:v>4.3059068682870736</c:v>
                </c:pt>
                <c:pt idx="882">
                  <c:v>1.9105137207175924</c:v>
                </c:pt>
                <c:pt idx="883">
                  <c:v>1.9116809027428032</c:v>
                </c:pt>
                <c:pt idx="884">
                  <c:v>4.3624725768003403</c:v>
                </c:pt>
                <c:pt idx="885">
                  <c:v>2.53665067403902</c:v>
                </c:pt>
                <c:pt idx="886">
                  <c:v>3.5762831926748588</c:v>
                </c:pt>
                <c:pt idx="887">
                  <c:v>2.7739855641958995</c:v>
                </c:pt>
                <c:pt idx="888">
                  <c:v>2.7896822837634505</c:v>
                </c:pt>
                <c:pt idx="889">
                  <c:v>1.9103882986627208</c:v>
                </c:pt>
                <c:pt idx="890">
                  <c:v>4.5804549642658356</c:v>
                </c:pt>
                <c:pt idx="891">
                  <c:v>2.7032052895430234</c:v>
                </c:pt>
                <c:pt idx="892">
                  <c:v>2.7757676656384112</c:v>
                </c:pt>
                <c:pt idx="893">
                  <c:v>2.0030072615981545</c:v>
                </c:pt>
                <c:pt idx="894">
                  <c:v>3.3060445374276242</c:v>
                </c:pt>
                <c:pt idx="895">
                  <c:v>5.2669482200859186</c:v>
                </c:pt>
                <c:pt idx="896">
                  <c:v>4.5021171074128636</c:v>
                </c:pt>
                <c:pt idx="897">
                  <c:v>2.6035738450475128</c:v>
                </c:pt>
                <c:pt idx="898">
                  <c:v>3.4360753241609974</c:v>
                </c:pt>
                <c:pt idx="899">
                  <c:v>1.9111452145548347</c:v>
                </c:pt>
                <c:pt idx="900">
                  <c:v>2.3695554200954256</c:v>
                </c:pt>
                <c:pt idx="901">
                  <c:v>3.5671741399031984</c:v>
                </c:pt>
                <c:pt idx="902">
                  <c:v>4.5930460590557463</c:v>
                </c:pt>
                <c:pt idx="903">
                  <c:v>1.9153990790853066</c:v>
                </c:pt>
                <c:pt idx="904">
                  <c:v>1.9470455789574435</c:v>
                </c:pt>
                <c:pt idx="905">
                  <c:v>1.9195974545550774</c:v>
                </c:pt>
                <c:pt idx="906">
                  <c:v>2.1470918113499247</c:v>
                </c:pt>
                <c:pt idx="907">
                  <c:v>2.2752231138985746</c:v>
                </c:pt>
                <c:pt idx="908">
                  <c:v>2.946465598737805</c:v>
                </c:pt>
                <c:pt idx="909">
                  <c:v>2.3954624425570517</c:v>
                </c:pt>
                <c:pt idx="910">
                  <c:v>2.5275197024757068</c:v>
                </c:pt>
                <c:pt idx="911">
                  <c:v>2.2316050354085872</c:v>
                </c:pt>
                <c:pt idx="912">
                  <c:v>3.0112163432544508</c:v>
                </c:pt>
                <c:pt idx="913">
                  <c:v>3.9203042953778993</c:v>
                </c:pt>
                <c:pt idx="914">
                  <c:v>4.5501415745093627</c:v>
                </c:pt>
                <c:pt idx="915">
                  <c:v>2.4816200720507737</c:v>
                </c:pt>
                <c:pt idx="916">
                  <c:v>2.7619017475781034</c:v>
                </c:pt>
                <c:pt idx="917">
                  <c:v>3.8383155213592715</c:v>
                </c:pt>
                <c:pt idx="918">
                  <c:v>2.0593346863663369</c:v>
                </c:pt>
                <c:pt idx="919">
                  <c:v>3.1500103963012149</c:v>
                </c:pt>
                <c:pt idx="920">
                  <c:v>3.364697270644851</c:v>
                </c:pt>
                <c:pt idx="921">
                  <c:v>1.9294433964075535</c:v>
                </c:pt>
                <c:pt idx="922">
                  <c:v>4.3751951719311792</c:v>
                </c:pt>
                <c:pt idx="923">
                  <c:v>4.3877889610716965</c:v>
                </c:pt>
                <c:pt idx="924">
                  <c:v>2.1509612917529841</c:v>
                </c:pt>
                <c:pt idx="925">
                  <c:v>1.9413155998767186</c:v>
                </c:pt>
                <c:pt idx="926">
                  <c:v>2.7262558279786364</c:v>
                </c:pt>
                <c:pt idx="927">
                  <c:v>3.7890682165737948</c:v>
                </c:pt>
                <c:pt idx="928">
                  <c:v>1.982694655220586</c:v>
                </c:pt>
                <c:pt idx="929">
                  <c:v>2.6916963841352994</c:v>
                </c:pt>
                <c:pt idx="930">
                  <c:v>2.8806336543190185</c:v>
                </c:pt>
                <c:pt idx="931">
                  <c:v>2.9918865376458834</c:v>
                </c:pt>
                <c:pt idx="932">
                  <c:v>4.6044122488207746</c:v>
                </c:pt>
                <c:pt idx="933">
                  <c:v>1.9178476818236607</c:v>
                </c:pt>
                <c:pt idx="934">
                  <c:v>1.9472266080316929</c:v>
                </c:pt>
                <c:pt idx="935">
                  <c:v>2.1528141494633726</c:v>
                </c:pt>
                <c:pt idx="936">
                  <c:v>2.2910731159581768</c:v>
                </c:pt>
                <c:pt idx="937">
                  <c:v>2.7932499867239864</c:v>
                </c:pt>
                <c:pt idx="938">
                  <c:v>2.7077296052596416</c:v>
                </c:pt>
                <c:pt idx="939">
                  <c:v>3.2032401468090721</c:v>
                </c:pt>
                <c:pt idx="940">
                  <c:v>1.9561666987745394</c:v>
                </c:pt>
                <c:pt idx="941">
                  <c:v>2.8957938164296508</c:v>
                </c:pt>
                <c:pt idx="942">
                  <c:v>2.7405345866538808</c:v>
                </c:pt>
                <c:pt idx="943">
                  <c:v>2.4062907618141391</c:v>
                </c:pt>
                <c:pt idx="944">
                  <c:v>1.920150760370489</c:v>
                </c:pt>
                <c:pt idx="945">
                  <c:v>2.5918864485519957</c:v>
                </c:pt>
                <c:pt idx="946">
                  <c:v>2.9861726628802061</c:v>
                </c:pt>
                <c:pt idx="947">
                  <c:v>2.0443676257021033</c:v>
                </c:pt>
                <c:pt idx="948">
                  <c:v>2.6161271191505118</c:v>
                </c:pt>
                <c:pt idx="949">
                  <c:v>2.8627480282161626</c:v>
                </c:pt>
                <c:pt idx="950">
                  <c:v>4.0180726869457963</c:v>
                </c:pt>
                <c:pt idx="951">
                  <c:v>2.913104096114997</c:v>
                </c:pt>
                <c:pt idx="952">
                  <c:v>3.0936548336727703</c:v>
                </c:pt>
                <c:pt idx="953">
                  <c:v>2.81111003183078</c:v>
                </c:pt>
                <c:pt idx="954">
                  <c:v>2.1150895341207478</c:v>
                </c:pt>
                <c:pt idx="955">
                  <c:v>4.2082271228081085</c:v>
                </c:pt>
                <c:pt idx="956">
                  <c:v>2.679297386825664</c:v>
                </c:pt>
                <c:pt idx="957">
                  <c:v>3.3679470465285863</c:v>
                </c:pt>
                <c:pt idx="958">
                  <c:v>2.0315390075693593</c:v>
                </c:pt>
                <c:pt idx="959">
                  <c:v>3.0833142141923631</c:v>
                </c:pt>
                <c:pt idx="960">
                  <c:v>2.200390881842575</c:v>
                </c:pt>
                <c:pt idx="961">
                  <c:v>2.1974594532041318</c:v>
                </c:pt>
                <c:pt idx="962">
                  <c:v>3.7265583298221463</c:v>
                </c:pt>
                <c:pt idx="963">
                  <c:v>1.9479856567964229</c:v>
                </c:pt>
                <c:pt idx="964">
                  <c:v>2.1290354969979965</c:v>
                </c:pt>
                <c:pt idx="965">
                  <c:v>1.9221018542826958</c:v>
                </c:pt>
                <c:pt idx="966">
                  <c:v>2.1656963766693247</c:v>
                </c:pt>
                <c:pt idx="967">
                  <c:v>3.1397242854331693</c:v>
                </c:pt>
                <c:pt idx="968">
                  <c:v>2.6739157116659502</c:v>
                </c:pt>
                <c:pt idx="969">
                  <c:v>2.9558474088719278</c:v>
                </c:pt>
                <c:pt idx="970">
                  <c:v>2.6418179684251122</c:v>
                </c:pt>
                <c:pt idx="971">
                  <c:v>1.9107601816819559</c:v>
                </c:pt>
                <c:pt idx="972">
                  <c:v>2.3099628342063512</c:v>
                </c:pt>
                <c:pt idx="973">
                  <c:v>2.1908238423154236</c:v>
                </c:pt>
                <c:pt idx="974">
                  <c:v>3.3722249924132499</c:v>
                </c:pt>
                <c:pt idx="975">
                  <c:v>3.2912111623138078</c:v>
                </c:pt>
                <c:pt idx="976">
                  <c:v>1.9283049242655614</c:v>
                </c:pt>
                <c:pt idx="977">
                  <c:v>2.0215878560436851</c:v>
                </c:pt>
                <c:pt idx="978">
                  <c:v>2.3217274111725525</c:v>
                </c:pt>
                <c:pt idx="979">
                  <c:v>4.9879928047773463</c:v>
                </c:pt>
                <c:pt idx="980">
                  <c:v>2.7078262766408581</c:v>
                </c:pt>
                <c:pt idx="981">
                  <c:v>2.1013161000401981</c:v>
                </c:pt>
                <c:pt idx="982">
                  <c:v>2.603406052483463</c:v>
                </c:pt>
                <c:pt idx="983">
                  <c:v>3.4938412002198542</c:v>
                </c:pt>
                <c:pt idx="984">
                  <c:v>2.3786740645168165</c:v>
                </c:pt>
                <c:pt idx="985">
                  <c:v>2.5625667401738577</c:v>
                </c:pt>
                <c:pt idx="986">
                  <c:v>1.9937265562551165</c:v>
                </c:pt>
                <c:pt idx="987">
                  <c:v>3.4137278085446687</c:v>
                </c:pt>
                <c:pt idx="988">
                  <c:v>5.3884444235396751</c:v>
                </c:pt>
                <c:pt idx="989">
                  <c:v>3.1281613809246571</c:v>
                </c:pt>
                <c:pt idx="990">
                  <c:v>2.5972280817062208</c:v>
                </c:pt>
                <c:pt idx="991">
                  <c:v>2.338309646243931</c:v>
                </c:pt>
                <c:pt idx="992">
                  <c:v>2.2830732208805431</c:v>
                </c:pt>
                <c:pt idx="993">
                  <c:v>2.5562474666906581</c:v>
                </c:pt>
                <c:pt idx="994">
                  <c:v>4.9556198763310579</c:v>
                </c:pt>
                <c:pt idx="995">
                  <c:v>3.0901085367384269</c:v>
                </c:pt>
                <c:pt idx="996">
                  <c:v>1.9364189344378446</c:v>
                </c:pt>
                <c:pt idx="997">
                  <c:v>2.8011735665976749</c:v>
                </c:pt>
                <c:pt idx="998">
                  <c:v>4.6712568784754005</c:v>
                </c:pt>
                <c:pt idx="999">
                  <c:v>3.0485035821573008</c:v>
                </c:pt>
              </c:numCache>
            </c:numRef>
          </c:xVal>
          <c:yVal>
            <c:numRef>
              <c:f>'Output Sheet'!$H$5:$H$4004</c:f>
              <c:numCache>
                <c:formatCode>0.00000</c:formatCode>
                <c:ptCount val="4000"/>
                <c:pt idx="0">
                  <c:v>0.5286432696452783</c:v>
                </c:pt>
                <c:pt idx="1">
                  <c:v>0.59622897240321859</c:v>
                </c:pt>
                <c:pt idx="2">
                  <c:v>0.3280003908495292</c:v>
                </c:pt>
                <c:pt idx="3">
                  <c:v>0.14587406176934897</c:v>
                </c:pt>
                <c:pt idx="4">
                  <c:v>0.50444680071849013</c:v>
                </c:pt>
                <c:pt idx="5">
                  <c:v>0.20184976617859765</c:v>
                </c:pt>
                <c:pt idx="6">
                  <c:v>0.49556884723061628</c:v>
                </c:pt>
                <c:pt idx="7">
                  <c:v>0.32748553881826814</c:v>
                </c:pt>
                <c:pt idx="8">
                  <c:v>0.78544559267457348</c:v>
                </c:pt>
                <c:pt idx="9">
                  <c:v>0.63514798898678193</c:v>
                </c:pt>
                <c:pt idx="10">
                  <c:v>0.41533950945042297</c:v>
                </c:pt>
                <c:pt idx="11">
                  <c:v>0.19081469687761651</c:v>
                </c:pt>
                <c:pt idx="12">
                  <c:v>0.55761094638093911</c:v>
                </c:pt>
                <c:pt idx="13">
                  <c:v>0.47355739512545891</c:v>
                </c:pt>
                <c:pt idx="14">
                  <c:v>0.4704842842417849</c:v>
                </c:pt>
                <c:pt idx="15">
                  <c:v>0.48151235489812733</c:v>
                </c:pt>
                <c:pt idx="16">
                  <c:v>0.39295780247149226</c:v>
                </c:pt>
                <c:pt idx="17">
                  <c:v>0.68911341964365558</c:v>
                </c:pt>
                <c:pt idx="18">
                  <c:v>0.42138872811663508</c:v>
                </c:pt>
                <c:pt idx="19">
                  <c:v>0.35103017382543011</c:v>
                </c:pt>
                <c:pt idx="20">
                  <c:v>0.20009272940117787</c:v>
                </c:pt>
                <c:pt idx="21">
                  <c:v>0.81177258204381497</c:v>
                </c:pt>
                <c:pt idx="22">
                  <c:v>0.72466493865654646</c:v>
                </c:pt>
                <c:pt idx="23">
                  <c:v>0.21261199930859906</c:v>
                </c:pt>
                <c:pt idx="24">
                  <c:v>0.73153569299055965</c:v>
                </c:pt>
                <c:pt idx="25">
                  <c:v>0.43625713193515919</c:v>
                </c:pt>
                <c:pt idx="26">
                  <c:v>0.30052556946808462</c:v>
                </c:pt>
                <c:pt idx="27">
                  <c:v>0.6257920550982623</c:v>
                </c:pt>
                <c:pt idx="28">
                  <c:v>0.57365298628687666</c:v>
                </c:pt>
                <c:pt idx="29">
                  <c:v>0.27296270471622242</c:v>
                </c:pt>
                <c:pt idx="30">
                  <c:v>0.47928518745510246</c:v>
                </c:pt>
                <c:pt idx="31">
                  <c:v>0.60955896203324011</c:v>
                </c:pt>
                <c:pt idx="32">
                  <c:v>0.65614207581700446</c:v>
                </c:pt>
                <c:pt idx="33">
                  <c:v>0.30115612071508185</c:v>
                </c:pt>
                <c:pt idx="34">
                  <c:v>0.23733205031503782</c:v>
                </c:pt>
                <c:pt idx="35">
                  <c:v>0.6720618128792285</c:v>
                </c:pt>
                <c:pt idx="36">
                  <c:v>0.6015721946719057</c:v>
                </c:pt>
                <c:pt idx="37">
                  <c:v>0.29963525673968477</c:v>
                </c:pt>
                <c:pt idx="38">
                  <c:v>0.48155159303575462</c:v>
                </c:pt>
                <c:pt idx="39">
                  <c:v>0.69832909203181714</c:v>
                </c:pt>
                <c:pt idx="40">
                  <c:v>0.44352860983257947</c:v>
                </c:pt>
                <c:pt idx="41">
                  <c:v>0.49608426530775146</c:v>
                </c:pt>
                <c:pt idx="42">
                  <c:v>0.16106928793689906</c:v>
                </c:pt>
                <c:pt idx="43">
                  <c:v>0.60568709352673777</c:v>
                </c:pt>
                <c:pt idx="44">
                  <c:v>0.53202703343847768</c:v>
                </c:pt>
                <c:pt idx="45">
                  <c:v>0.49845975987055835</c:v>
                </c:pt>
                <c:pt idx="46">
                  <c:v>0.45691119495578469</c:v>
                </c:pt>
                <c:pt idx="47">
                  <c:v>0.70889772848339094</c:v>
                </c:pt>
                <c:pt idx="48">
                  <c:v>0.27173684852756375</c:v>
                </c:pt>
                <c:pt idx="49">
                  <c:v>0.22703749795864994</c:v>
                </c:pt>
                <c:pt idx="50">
                  <c:v>0.42970901893075492</c:v>
                </c:pt>
                <c:pt idx="51">
                  <c:v>0.30480997917400865</c:v>
                </c:pt>
                <c:pt idx="52">
                  <c:v>0.33488835442029585</c:v>
                </c:pt>
                <c:pt idx="53">
                  <c:v>0.67215752829564979</c:v>
                </c:pt>
                <c:pt idx="54">
                  <c:v>0.5423121130905354</c:v>
                </c:pt>
                <c:pt idx="55">
                  <c:v>0.52518284073046784</c:v>
                </c:pt>
                <c:pt idx="56">
                  <c:v>0.21693930301366096</c:v>
                </c:pt>
                <c:pt idx="57">
                  <c:v>0.39630066356682675</c:v>
                </c:pt>
                <c:pt idx="58">
                  <c:v>0.42293495494135391</c:v>
                </c:pt>
                <c:pt idx="59">
                  <c:v>0.19014804366190924</c:v>
                </c:pt>
                <c:pt idx="60">
                  <c:v>0.41947772529616906</c:v>
                </c:pt>
                <c:pt idx="61">
                  <c:v>0.63395578861338853</c:v>
                </c:pt>
                <c:pt idx="62">
                  <c:v>0.13362520740702463</c:v>
                </c:pt>
                <c:pt idx="63">
                  <c:v>0.51309022100510637</c:v>
                </c:pt>
                <c:pt idx="64">
                  <c:v>0.76500726167056443</c:v>
                </c:pt>
                <c:pt idx="65">
                  <c:v>0.28631086461831656</c:v>
                </c:pt>
                <c:pt idx="66">
                  <c:v>0.52200468244342069</c:v>
                </c:pt>
                <c:pt idx="67">
                  <c:v>0.25517915019687387</c:v>
                </c:pt>
                <c:pt idx="68">
                  <c:v>0.57524545018912709</c:v>
                </c:pt>
                <c:pt idx="69">
                  <c:v>0.20675291251184194</c:v>
                </c:pt>
                <c:pt idx="70">
                  <c:v>0.4562958318615627</c:v>
                </c:pt>
                <c:pt idx="71">
                  <c:v>0.62155685171081865</c:v>
                </c:pt>
                <c:pt idx="72">
                  <c:v>0.67171144239581237</c:v>
                </c:pt>
                <c:pt idx="73">
                  <c:v>0.67229169263638311</c:v>
                </c:pt>
                <c:pt idx="74">
                  <c:v>0.76123854903983368</c:v>
                </c:pt>
                <c:pt idx="75">
                  <c:v>0.5631857338742644</c:v>
                </c:pt>
                <c:pt idx="76">
                  <c:v>0.50647948294968725</c:v>
                </c:pt>
                <c:pt idx="77">
                  <c:v>0.3334857783705405</c:v>
                </c:pt>
                <c:pt idx="78">
                  <c:v>0.64743413900161806</c:v>
                </c:pt>
                <c:pt idx="79">
                  <c:v>0.19406639106624926</c:v>
                </c:pt>
                <c:pt idx="80">
                  <c:v>0.63775226050845346</c:v>
                </c:pt>
                <c:pt idx="81">
                  <c:v>0.36151477476957067</c:v>
                </c:pt>
                <c:pt idx="82">
                  <c:v>0.43026606050404098</c:v>
                </c:pt>
                <c:pt idx="83">
                  <c:v>0.19246404955955806</c:v>
                </c:pt>
                <c:pt idx="84">
                  <c:v>0.26690848871714423</c:v>
                </c:pt>
                <c:pt idx="85">
                  <c:v>0.43746243085838754</c:v>
                </c:pt>
                <c:pt idx="86">
                  <c:v>0.64499137820752939</c:v>
                </c:pt>
                <c:pt idx="87">
                  <c:v>0.73770542455058286</c:v>
                </c:pt>
                <c:pt idx="88">
                  <c:v>0.55497903475199206</c:v>
                </c:pt>
                <c:pt idx="89">
                  <c:v>0.7535109815686859</c:v>
                </c:pt>
                <c:pt idx="90">
                  <c:v>0.54860737832026218</c:v>
                </c:pt>
                <c:pt idx="91">
                  <c:v>0.6190494299105006</c:v>
                </c:pt>
                <c:pt idx="92">
                  <c:v>0.60974271777557365</c:v>
                </c:pt>
                <c:pt idx="93">
                  <c:v>0.746988819553001</c:v>
                </c:pt>
                <c:pt idx="94">
                  <c:v>0.18689122812875542</c:v>
                </c:pt>
                <c:pt idx="95">
                  <c:v>0.39184348190796059</c:v>
                </c:pt>
                <c:pt idx="96">
                  <c:v>0.52885916133567146</c:v>
                </c:pt>
                <c:pt idx="97">
                  <c:v>0.48478138303006946</c:v>
                </c:pt>
                <c:pt idx="98">
                  <c:v>0.46810682567225781</c:v>
                </c:pt>
                <c:pt idx="99">
                  <c:v>0.65103480875781028</c:v>
                </c:pt>
                <c:pt idx="100">
                  <c:v>0.5118551061181279</c:v>
                </c:pt>
                <c:pt idx="101">
                  <c:v>0.6853396877536887</c:v>
                </c:pt>
                <c:pt idx="102">
                  <c:v>0.43721372838221745</c:v>
                </c:pt>
                <c:pt idx="103">
                  <c:v>0.55051775090920052</c:v>
                </c:pt>
                <c:pt idx="104">
                  <c:v>0.45020434827744649</c:v>
                </c:pt>
                <c:pt idx="105">
                  <c:v>0.32001399073856462</c:v>
                </c:pt>
                <c:pt idx="106">
                  <c:v>0.42379153472571052</c:v>
                </c:pt>
                <c:pt idx="107">
                  <c:v>0.62292004671671453</c:v>
                </c:pt>
                <c:pt idx="108">
                  <c:v>0.48603635015673741</c:v>
                </c:pt>
                <c:pt idx="109">
                  <c:v>0.28673721555137849</c:v>
                </c:pt>
                <c:pt idx="110">
                  <c:v>0.32518469538688205</c:v>
                </c:pt>
                <c:pt idx="111">
                  <c:v>0.33688939294304221</c:v>
                </c:pt>
                <c:pt idx="112">
                  <c:v>0.62960644054296355</c:v>
                </c:pt>
                <c:pt idx="113">
                  <c:v>0.4650593609057308</c:v>
                </c:pt>
                <c:pt idx="114">
                  <c:v>0.43860067847252054</c:v>
                </c:pt>
                <c:pt idx="115">
                  <c:v>0.2491281025125725</c:v>
                </c:pt>
                <c:pt idx="116">
                  <c:v>0.25463754761634866</c:v>
                </c:pt>
                <c:pt idx="117">
                  <c:v>0.49221794236792527</c:v>
                </c:pt>
                <c:pt idx="118">
                  <c:v>0.60283034764304022</c:v>
                </c:pt>
                <c:pt idx="119">
                  <c:v>0.68521190648582608</c:v>
                </c:pt>
                <c:pt idx="120">
                  <c:v>0.41045430672490202</c:v>
                </c:pt>
                <c:pt idx="121">
                  <c:v>0.17709811257846347</c:v>
                </c:pt>
                <c:pt idx="122">
                  <c:v>0.47154192025936165</c:v>
                </c:pt>
                <c:pt idx="123">
                  <c:v>0.3530465500667716</c:v>
                </c:pt>
                <c:pt idx="124">
                  <c:v>0.47904195311430919</c:v>
                </c:pt>
                <c:pt idx="125">
                  <c:v>0.3460158532004684</c:v>
                </c:pt>
                <c:pt idx="126">
                  <c:v>0.75386320313084654</c:v>
                </c:pt>
                <c:pt idx="127">
                  <c:v>0.46021292811140541</c:v>
                </c:pt>
                <c:pt idx="128">
                  <c:v>0.15767847782166042</c:v>
                </c:pt>
                <c:pt idx="129">
                  <c:v>0.54534916985527171</c:v>
                </c:pt>
                <c:pt idx="130">
                  <c:v>0.51590694403975013</c:v>
                </c:pt>
                <c:pt idx="131">
                  <c:v>0.56722234143131567</c:v>
                </c:pt>
                <c:pt idx="132">
                  <c:v>0.63733181049858745</c:v>
                </c:pt>
                <c:pt idx="133">
                  <c:v>0.44664800228496232</c:v>
                </c:pt>
                <c:pt idx="134">
                  <c:v>0.74841064669359558</c:v>
                </c:pt>
                <c:pt idx="135">
                  <c:v>0.58454809675372488</c:v>
                </c:pt>
                <c:pt idx="136">
                  <c:v>0.38345097667711325</c:v>
                </c:pt>
                <c:pt idx="137">
                  <c:v>0.23896640492830989</c:v>
                </c:pt>
                <c:pt idx="138">
                  <c:v>0.57688979977117916</c:v>
                </c:pt>
                <c:pt idx="139">
                  <c:v>0.36720839729485477</c:v>
                </c:pt>
                <c:pt idx="140">
                  <c:v>0.38666865428790365</c:v>
                </c:pt>
                <c:pt idx="141">
                  <c:v>0.53901562921421098</c:v>
                </c:pt>
                <c:pt idx="142">
                  <c:v>0.67753780062655122</c:v>
                </c:pt>
                <c:pt idx="143">
                  <c:v>0.37551117326309469</c:v>
                </c:pt>
                <c:pt idx="144">
                  <c:v>0.39718796759794811</c:v>
                </c:pt>
                <c:pt idx="145">
                  <c:v>0.54872674118159015</c:v>
                </c:pt>
                <c:pt idx="146">
                  <c:v>0.76842504540770995</c:v>
                </c:pt>
                <c:pt idx="147">
                  <c:v>0.49366571192932496</c:v>
                </c:pt>
                <c:pt idx="148">
                  <c:v>0.66215809564782102</c:v>
                </c:pt>
                <c:pt idx="149">
                  <c:v>0.41577825404892771</c:v>
                </c:pt>
                <c:pt idx="150">
                  <c:v>0.78572875651605467</c:v>
                </c:pt>
                <c:pt idx="151">
                  <c:v>0.41535432271426148</c:v>
                </c:pt>
                <c:pt idx="152">
                  <c:v>0.62700743549595583</c:v>
                </c:pt>
                <c:pt idx="153">
                  <c:v>0.51332781380023884</c:v>
                </c:pt>
                <c:pt idx="154">
                  <c:v>0.42982502297600583</c:v>
                </c:pt>
                <c:pt idx="155">
                  <c:v>0.60373058549815273</c:v>
                </c:pt>
                <c:pt idx="156">
                  <c:v>0.21263277427876887</c:v>
                </c:pt>
                <c:pt idx="157">
                  <c:v>0.50389668207456917</c:v>
                </c:pt>
                <c:pt idx="158">
                  <c:v>0.80045591408737848</c:v>
                </c:pt>
                <c:pt idx="159">
                  <c:v>0.48411072091751772</c:v>
                </c:pt>
                <c:pt idx="160">
                  <c:v>0.51971056480446454</c:v>
                </c:pt>
                <c:pt idx="161">
                  <c:v>0.32606266270223982</c:v>
                </c:pt>
                <c:pt idx="162">
                  <c:v>0.43248868772951649</c:v>
                </c:pt>
                <c:pt idx="163">
                  <c:v>0.63743458821020504</c:v>
                </c:pt>
                <c:pt idx="164">
                  <c:v>0.62364785429849734</c:v>
                </c:pt>
                <c:pt idx="165">
                  <c:v>0.33855783201556189</c:v>
                </c:pt>
                <c:pt idx="166">
                  <c:v>0.36089357218040019</c:v>
                </c:pt>
                <c:pt idx="167">
                  <c:v>0.28034539857667556</c:v>
                </c:pt>
                <c:pt idx="168">
                  <c:v>0.56359804583586848</c:v>
                </c:pt>
                <c:pt idx="169">
                  <c:v>0.34961640408528843</c:v>
                </c:pt>
                <c:pt idx="170">
                  <c:v>0.40136496290957069</c:v>
                </c:pt>
                <c:pt idx="171">
                  <c:v>0.55696671491337701</c:v>
                </c:pt>
                <c:pt idx="172">
                  <c:v>0.66802445013918565</c:v>
                </c:pt>
                <c:pt idx="173">
                  <c:v>0.54445772148576399</c:v>
                </c:pt>
                <c:pt idx="174">
                  <c:v>0.82255197437143834</c:v>
                </c:pt>
                <c:pt idx="175">
                  <c:v>0.45881639081960945</c:v>
                </c:pt>
                <c:pt idx="176">
                  <c:v>0.33034806708186454</c:v>
                </c:pt>
                <c:pt idx="177">
                  <c:v>0.36436833211887942</c:v>
                </c:pt>
                <c:pt idx="178">
                  <c:v>0.56992238784424298</c:v>
                </c:pt>
                <c:pt idx="179">
                  <c:v>0.24410753381194092</c:v>
                </c:pt>
                <c:pt idx="180">
                  <c:v>0.35770917085834919</c:v>
                </c:pt>
                <c:pt idx="181">
                  <c:v>0.32843797463755714</c:v>
                </c:pt>
                <c:pt idx="182">
                  <c:v>0.27477291200009596</c:v>
                </c:pt>
                <c:pt idx="183">
                  <c:v>0.68679306876044566</c:v>
                </c:pt>
                <c:pt idx="184">
                  <c:v>0.75224604557260699</c:v>
                </c:pt>
                <c:pt idx="185">
                  <c:v>0.55581660568191671</c:v>
                </c:pt>
                <c:pt idx="186">
                  <c:v>0.41020732621188405</c:v>
                </c:pt>
                <c:pt idx="187">
                  <c:v>0.61997387409033344</c:v>
                </c:pt>
                <c:pt idx="188">
                  <c:v>0.77188732528533255</c:v>
                </c:pt>
                <c:pt idx="189">
                  <c:v>0.38743332928356145</c:v>
                </c:pt>
                <c:pt idx="190">
                  <c:v>0.40651265622354371</c:v>
                </c:pt>
                <c:pt idx="191">
                  <c:v>0.43182810126769494</c:v>
                </c:pt>
                <c:pt idx="192">
                  <c:v>0.35372428774952575</c:v>
                </c:pt>
                <c:pt idx="193">
                  <c:v>0.63807221011209436</c:v>
                </c:pt>
                <c:pt idx="194">
                  <c:v>0.75069952783797433</c:v>
                </c:pt>
                <c:pt idx="195">
                  <c:v>0.42499069270298534</c:v>
                </c:pt>
                <c:pt idx="196">
                  <c:v>0.26939280870193805</c:v>
                </c:pt>
                <c:pt idx="197">
                  <c:v>0.58960925244534246</c:v>
                </c:pt>
                <c:pt idx="198">
                  <c:v>0.40406656947306036</c:v>
                </c:pt>
                <c:pt idx="199">
                  <c:v>0.60938254508038159</c:v>
                </c:pt>
                <c:pt idx="200">
                  <c:v>0.39351183299438136</c:v>
                </c:pt>
                <c:pt idx="201">
                  <c:v>0.64023697577514704</c:v>
                </c:pt>
                <c:pt idx="202">
                  <c:v>0.73157846068369836</c:v>
                </c:pt>
                <c:pt idx="203">
                  <c:v>0.29190588665788492</c:v>
                </c:pt>
                <c:pt idx="204">
                  <c:v>0.64267448569263042</c:v>
                </c:pt>
                <c:pt idx="205">
                  <c:v>0.60381547656304957</c:v>
                </c:pt>
                <c:pt idx="206">
                  <c:v>0.13980495750114685</c:v>
                </c:pt>
                <c:pt idx="207">
                  <c:v>0.32580350804547087</c:v>
                </c:pt>
                <c:pt idx="208">
                  <c:v>0.49447181252103128</c:v>
                </c:pt>
                <c:pt idx="209">
                  <c:v>0.56316790362715274</c:v>
                </c:pt>
                <c:pt idx="210">
                  <c:v>0.17743714763061375</c:v>
                </c:pt>
                <c:pt idx="211">
                  <c:v>0.59659224161020541</c:v>
                </c:pt>
                <c:pt idx="212">
                  <c:v>0.50055695432496317</c:v>
                </c:pt>
                <c:pt idx="213">
                  <c:v>0.44125784460221057</c:v>
                </c:pt>
                <c:pt idx="214">
                  <c:v>0.38322407191481533</c:v>
                </c:pt>
                <c:pt idx="215">
                  <c:v>0.15621775445051245</c:v>
                </c:pt>
                <c:pt idx="216">
                  <c:v>0.47870602213007346</c:v>
                </c:pt>
                <c:pt idx="217">
                  <c:v>0.42804264910856554</c:v>
                </c:pt>
                <c:pt idx="218">
                  <c:v>0.41699729814983066</c:v>
                </c:pt>
                <c:pt idx="219">
                  <c:v>0.64340321750029494</c:v>
                </c:pt>
                <c:pt idx="220">
                  <c:v>0.38513840912914249</c:v>
                </c:pt>
                <c:pt idx="221">
                  <c:v>0.56716580170856568</c:v>
                </c:pt>
                <c:pt idx="222">
                  <c:v>0.51781575793530021</c:v>
                </c:pt>
                <c:pt idx="223">
                  <c:v>0.77176901236941786</c:v>
                </c:pt>
                <c:pt idx="224">
                  <c:v>0.63743766475026675</c:v>
                </c:pt>
                <c:pt idx="225">
                  <c:v>0.48584596578578748</c:v>
                </c:pt>
                <c:pt idx="226">
                  <c:v>0.50940514831652894</c:v>
                </c:pt>
                <c:pt idx="227">
                  <c:v>0.36726623105268358</c:v>
                </c:pt>
                <c:pt idx="228">
                  <c:v>0.68375285170932454</c:v>
                </c:pt>
                <c:pt idx="229">
                  <c:v>0.27268841294015067</c:v>
                </c:pt>
                <c:pt idx="230">
                  <c:v>0.16643472425244724</c:v>
                </c:pt>
                <c:pt idx="231">
                  <c:v>0.73208922404869714</c:v>
                </c:pt>
                <c:pt idx="232">
                  <c:v>0.32361866180712878</c:v>
                </c:pt>
                <c:pt idx="233">
                  <c:v>0.42239121479193342</c:v>
                </c:pt>
                <c:pt idx="234">
                  <c:v>0.48921796207976687</c:v>
                </c:pt>
                <c:pt idx="235">
                  <c:v>0.6351982338137474</c:v>
                </c:pt>
                <c:pt idx="236">
                  <c:v>0.46915267369439728</c:v>
                </c:pt>
                <c:pt idx="237">
                  <c:v>0.60023670108764171</c:v>
                </c:pt>
                <c:pt idx="238">
                  <c:v>0.49693109212722303</c:v>
                </c:pt>
                <c:pt idx="239">
                  <c:v>0.34125481328884233</c:v>
                </c:pt>
                <c:pt idx="240">
                  <c:v>0.51911140337432038</c:v>
                </c:pt>
                <c:pt idx="241">
                  <c:v>0.32564452759296397</c:v>
                </c:pt>
                <c:pt idx="242">
                  <c:v>0.56455169487714818</c:v>
                </c:pt>
                <c:pt idx="243">
                  <c:v>0.66206268331716223</c:v>
                </c:pt>
                <c:pt idx="244">
                  <c:v>0.43082004003925639</c:v>
                </c:pt>
                <c:pt idx="245">
                  <c:v>0.43409603782208245</c:v>
                </c:pt>
                <c:pt idx="246">
                  <c:v>0.16527574871822451</c:v>
                </c:pt>
                <c:pt idx="247">
                  <c:v>0.52472420950448062</c:v>
                </c:pt>
                <c:pt idx="248">
                  <c:v>0.47316805037643328</c:v>
                </c:pt>
                <c:pt idx="249">
                  <c:v>0.37304265495652789</c:v>
                </c:pt>
                <c:pt idx="250">
                  <c:v>0.46700507342860781</c:v>
                </c:pt>
                <c:pt idx="251">
                  <c:v>0.2351486225616474</c:v>
                </c:pt>
                <c:pt idx="252">
                  <c:v>0.72331338790340749</c:v>
                </c:pt>
                <c:pt idx="253">
                  <c:v>0.40573097809111802</c:v>
                </c:pt>
                <c:pt idx="254">
                  <c:v>0.5157848768109905</c:v>
                </c:pt>
                <c:pt idx="255">
                  <c:v>0.47330248115895407</c:v>
                </c:pt>
                <c:pt idx="256">
                  <c:v>0.49879059306581025</c:v>
                </c:pt>
                <c:pt idx="257">
                  <c:v>0.73964311681215889</c:v>
                </c:pt>
                <c:pt idx="258">
                  <c:v>0.40689228882111805</c:v>
                </c:pt>
                <c:pt idx="259">
                  <c:v>0.20949062783128802</c:v>
                </c:pt>
                <c:pt idx="260">
                  <c:v>0.43443622895376033</c:v>
                </c:pt>
                <c:pt idx="261">
                  <c:v>0.42274635921875331</c:v>
                </c:pt>
                <c:pt idx="262">
                  <c:v>0.19976197933793988</c:v>
                </c:pt>
                <c:pt idx="263">
                  <c:v>0.2437494101878985</c:v>
                </c:pt>
                <c:pt idx="264">
                  <c:v>0.50685573677310203</c:v>
                </c:pt>
                <c:pt idx="265">
                  <c:v>0.58042838930785057</c:v>
                </c:pt>
                <c:pt idx="266">
                  <c:v>0.50919810177616953</c:v>
                </c:pt>
                <c:pt idx="267">
                  <c:v>0.53012855229540201</c:v>
                </c:pt>
                <c:pt idx="268">
                  <c:v>0.70120767552958929</c:v>
                </c:pt>
                <c:pt idx="269">
                  <c:v>0.26993677574610991</c:v>
                </c:pt>
                <c:pt idx="270">
                  <c:v>0.44130720751593117</c:v>
                </c:pt>
                <c:pt idx="271">
                  <c:v>0.36616132614156077</c:v>
                </c:pt>
                <c:pt idx="272">
                  <c:v>0.79777628260300959</c:v>
                </c:pt>
                <c:pt idx="273">
                  <c:v>0.56482668944107872</c:v>
                </c:pt>
                <c:pt idx="274">
                  <c:v>0.31060026414894948</c:v>
                </c:pt>
                <c:pt idx="275">
                  <c:v>0.47360687567950821</c:v>
                </c:pt>
                <c:pt idx="276">
                  <c:v>0.81237497965892824</c:v>
                </c:pt>
                <c:pt idx="277">
                  <c:v>0.41581004560122259</c:v>
                </c:pt>
                <c:pt idx="278">
                  <c:v>0.14010290945727277</c:v>
                </c:pt>
                <c:pt idx="279">
                  <c:v>0.27262473842780705</c:v>
                </c:pt>
                <c:pt idx="280">
                  <c:v>0.4241494635173787</c:v>
                </c:pt>
                <c:pt idx="281">
                  <c:v>0.42800942270767917</c:v>
                </c:pt>
                <c:pt idx="282">
                  <c:v>0.57893076742412664</c:v>
                </c:pt>
                <c:pt idx="283">
                  <c:v>0.44365894490415858</c:v>
                </c:pt>
                <c:pt idx="284">
                  <c:v>0.56320838639259962</c:v>
                </c:pt>
                <c:pt idx="285">
                  <c:v>0.69777889522874947</c:v>
                </c:pt>
                <c:pt idx="286">
                  <c:v>0.42236732846196423</c:v>
                </c:pt>
                <c:pt idx="287">
                  <c:v>0.52769925449144528</c:v>
                </c:pt>
                <c:pt idx="288">
                  <c:v>0.44336922525213612</c:v>
                </c:pt>
                <c:pt idx="289">
                  <c:v>0.37172358522293042</c:v>
                </c:pt>
                <c:pt idx="290">
                  <c:v>0.48720735276667138</c:v>
                </c:pt>
                <c:pt idx="291">
                  <c:v>0.68291166278644866</c:v>
                </c:pt>
                <c:pt idx="292">
                  <c:v>0.77004062773437343</c:v>
                </c:pt>
                <c:pt idx="293">
                  <c:v>0.27700662403113352</c:v>
                </c:pt>
                <c:pt idx="294">
                  <c:v>0.68093904162374486</c:v>
                </c:pt>
                <c:pt idx="295">
                  <c:v>0.43698918280985954</c:v>
                </c:pt>
                <c:pt idx="296">
                  <c:v>0.6764134110212966</c:v>
                </c:pt>
                <c:pt idx="297">
                  <c:v>0.31639058941078535</c:v>
                </c:pt>
                <c:pt idx="298">
                  <c:v>0.45434488497259184</c:v>
                </c:pt>
                <c:pt idx="299">
                  <c:v>0.62689293118028988</c:v>
                </c:pt>
                <c:pt idx="300">
                  <c:v>0.5042141604935233</c:v>
                </c:pt>
                <c:pt idx="301">
                  <c:v>0.68941148896002491</c:v>
                </c:pt>
                <c:pt idx="302">
                  <c:v>0.40513622461123383</c:v>
                </c:pt>
                <c:pt idx="303">
                  <c:v>0.57420475390154557</c:v>
                </c:pt>
                <c:pt idx="304">
                  <c:v>0.46577029630820593</c:v>
                </c:pt>
                <c:pt idx="305">
                  <c:v>0.61631345518573255</c:v>
                </c:pt>
                <c:pt idx="306">
                  <c:v>0.43225475134545549</c:v>
                </c:pt>
                <c:pt idx="307">
                  <c:v>0.55076257769566006</c:v>
                </c:pt>
                <c:pt idx="308">
                  <c:v>0.32360820149518205</c:v>
                </c:pt>
                <c:pt idx="309">
                  <c:v>0.52101090261565108</c:v>
                </c:pt>
                <c:pt idx="310">
                  <c:v>0.43869157005019499</c:v>
                </c:pt>
                <c:pt idx="311">
                  <c:v>0.44433418735922475</c:v>
                </c:pt>
                <c:pt idx="312">
                  <c:v>0.1719634973359189</c:v>
                </c:pt>
                <c:pt idx="313">
                  <c:v>0.63694384945505489</c:v>
                </c:pt>
                <c:pt idx="314">
                  <c:v>0.28326832014745251</c:v>
                </c:pt>
                <c:pt idx="315">
                  <c:v>0.60746970854996052</c:v>
                </c:pt>
                <c:pt idx="316">
                  <c:v>0.37996926636303685</c:v>
                </c:pt>
                <c:pt idx="317">
                  <c:v>0.39540166348566003</c:v>
                </c:pt>
                <c:pt idx="318">
                  <c:v>0.65043225294096785</c:v>
                </c:pt>
                <c:pt idx="319">
                  <c:v>0.66171218896482997</c:v>
                </c:pt>
                <c:pt idx="320">
                  <c:v>0.67159583690939562</c:v>
                </c:pt>
                <c:pt idx="321">
                  <c:v>0.59733572062413887</c:v>
                </c:pt>
                <c:pt idx="322">
                  <c:v>0.63847735555569562</c:v>
                </c:pt>
                <c:pt idx="323">
                  <c:v>0.70268944279748258</c:v>
                </c:pt>
                <c:pt idx="324">
                  <c:v>0.69209010691379103</c:v>
                </c:pt>
                <c:pt idx="325">
                  <c:v>0.49528996369585565</c:v>
                </c:pt>
                <c:pt idx="326">
                  <c:v>0.79407739354279228</c:v>
                </c:pt>
                <c:pt idx="327">
                  <c:v>0.62007280546871235</c:v>
                </c:pt>
                <c:pt idx="328">
                  <c:v>0.34213264416052197</c:v>
                </c:pt>
                <c:pt idx="329">
                  <c:v>0.40704511377278868</c:v>
                </c:pt>
                <c:pt idx="330">
                  <c:v>0.54916958039393671</c:v>
                </c:pt>
                <c:pt idx="331">
                  <c:v>0.66186112461211044</c:v>
                </c:pt>
                <c:pt idx="332">
                  <c:v>0.64632974347524097</c:v>
                </c:pt>
                <c:pt idx="333">
                  <c:v>0.48135645156683998</c:v>
                </c:pt>
                <c:pt idx="334">
                  <c:v>0.49262637301410767</c:v>
                </c:pt>
                <c:pt idx="335">
                  <c:v>0.46282550394346816</c:v>
                </c:pt>
                <c:pt idx="336">
                  <c:v>0.3550876424012725</c:v>
                </c:pt>
                <c:pt idx="337">
                  <c:v>0.46229431109478214</c:v>
                </c:pt>
                <c:pt idx="338">
                  <c:v>0.4136206744983475</c:v>
                </c:pt>
                <c:pt idx="339">
                  <c:v>0.31730829365954183</c:v>
                </c:pt>
                <c:pt idx="340">
                  <c:v>0.46020405763927669</c:v>
                </c:pt>
                <c:pt idx="341">
                  <c:v>0.78278142974829679</c:v>
                </c:pt>
                <c:pt idx="342">
                  <c:v>0.64208218929225658</c:v>
                </c:pt>
                <c:pt idx="343">
                  <c:v>0.69577991989892929</c:v>
                </c:pt>
                <c:pt idx="344">
                  <c:v>0.37303343174155762</c:v>
                </c:pt>
                <c:pt idx="345">
                  <c:v>0.2266459237272884</c:v>
                </c:pt>
                <c:pt idx="346">
                  <c:v>0.56030931343685131</c:v>
                </c:pt>
                <c:pt idx="347">
                  <c:v>0.5193241890935324</c:v>
                </c:pt>
                <c:pt idx="348">
                  <c:v>0.66566533545415674</c:v>
                </c:pt>
                <c:pt idx="349">
                  <c:v>0.16610784818118962</c:v>
                </c:pt>
                <c:pt idx="350">
                  <c:v>0.19306433083535618</c:v>
                </c:pt>
                <c:pt idx="351">
                  <c:v>0.47664030254597012</c:v>
                </c:pt>
                <c:pt idx="352">
                  <c:v>0.6865181721855782</c:v>
                </c:pt>
                <c:pt idx="353">
                  <c:v>0.37674447518569404</c:v>
                </c:pt>
                <c:pt idx="354">
                  <c:v>0.59753220888188274</c:v>
                </c:pt>
                <c:pt idx="355">
                  <c:v>0.52903308325335441</c:v>
                </c:pt>
                <c:pt idx="356">
                  <c:v>0.29713567485067865</c:v>
                </c:pt>
                <c:pt idx="357">
                  <c:v>0.48236472109312234</c:v>
                </c:pt>
                <c:pt idx="358">
                  <c:v>0.74193957953819445</c:v>
                </c:pt>
                <c:pt idx="359">
                  <c:v>0.64271044585263337</c:v>
                </c:pt>
                <c:pt idx="360">
                  <c:v>0.2534079284537345</c:v>
                </c:pt>
                <c:pt idx="361">
                  <c:v>0.65123315563264828</c:v>
                </c:pt>
                <c:pt idx="362">
                  <c:v>0.57799089149018734</c:v>
                </c:pt>
                <c:pt idx="363">
                  <c:v>0.50187423895811101</c:v>
                </c:pt>
                <c:pt idx="364">
                  <c:v>0.4823952393134745</c:v>
                </c:pt>
                <c:pt idx="365">
                  <c:v>0.41560415533383765</c:v>
                </c:pt>
                <c:pt idx="366">
                  <c:v>0.31403707407980785</c:v>
                </c:pt>
                <c:pt idx="367">
                  <c:v>0.47667252527405307</c:v>
                </c:pt>
                <c:pt idx="368">
                  <c:v>0.5762817498152798</c:v>
                </c:pt>
                <c:pt idx="369">
                  <c:v>0.39959020641064324</c:v>
                </c:pt>
                <c:pt idx="370">
                  <c:v>0.4150142315165336</c:v>
                </c:pt>
                <c:pt idx="371">
                  <c:v>0.31096096377019644</c:v>
                </c:pt>
                <c:pt idx="372">
                  <c:v>0.57092392916265733</c:v>
                </c:pt>
                <c:pt idx="373">
                  <c:v>0.82270005905778509</c:v>
                </c:pt>
                <c:pt idx="374">
                  <c:v>0.55428125730086997</c:v>
                </c:pt>
                <c:pt idx="375">
                  <c:v>0.40870374118514852</c:v>
                </c:pt>
                <c:pt idx="376">
                  <c:v>0.52515228541887204</c:v>
                </c:pt>
                <c:pt idx="377">
                  <c:v>0.73826525440756663</c:v>
                </c:pt>
                <c:pt idx="378">
                  <c:v>0.46946540369660578</c:v>
                </c:pt>
                <c:pt idx="379">
                  <c:v>0.45815075641675407</c:v>
                </c:pt>
                <c:pt idx="380">
                  <c:v>0.75605781135653738</c:v>
                </c:pt>
                <c:pt idx="381">
                  <c:v>0.35827143096400332</c:v>
                </c:pt>
                <c:pt idx="382">
                  <c:v>0.32996283418846972</c:v>
                </c:pt>
                <c:pt idx="383">
                  <c:v>0.35682099506863574</c:v>
                </c:pt>
                <c:pt idx="384">
                  <c:v>0.37013450958441241</c:v>
                </c:pt>
                <c:pt idx="385">
                  <c:v>0.29320489413961115</c:v>
                </c:pt>
                <c:pt idx="386">
                  <c:v>0.69222624451931558</c:v>
                </c:pt>
                <c:pt idx="387">
                  <c:v>0.4833468806447635</c:v>
                </c:pt>
                <c:pt idx="388">
                  <c:v>0.56720200276049082</c:v>
                </c:pt>
                <c:pt idx="389">
                  <c:v>0.54129563474449061</c:v>
                </c:pt>
                <c:pt idx="390">
                  <c:v>0.26922781796696432</c:v>
                </c:pt>
                <c:pt idx="391">
                  <c:v>0.42331022359633808</c:v>
                </c:pt>
                <c:pt idx="392">
                  <c:v>0.73982743629236425</c:v>
                </c:pt>
                <c:pt idx="393">
                  <c:v>0.75987554731145346</c:v>
                </c:pt>
                <c:pt idx="394">
                  <c:v>0.44837024185169039</c:v>
                </c:pt>
                <c:pt idx="395">
                  <c:v>0.2966749771973709</c:v>
                </c:pt>
                <c:pt idx="396">
                  <c:v>0.14679604782148895</c:v>
                </c:pt>
                <c:pt idx="397">
                  <c:v>0.50485925256147701</c:v>
                </c:pt>
                <c:pt idx="398">
                  <c:v>0.16066441165218934</c:v>
                </c:pt>
                <c:pt idx="399">
                  <c:v>0.30162232729269384</c:v>
                </c:pt>
                <c:pt idx="400">
                  <c:v>0.44139004065500242</c:v>
                </c:pt>
                <c:pt idx="401">
                  <c:v>0.46384369474562276</c:v>
                </c:pt>
                <c:pt idx="402">
                  <c:v>0.33075754425542497</c:v>
                </c:pt>
                <c:pt idx="403">
                  <c:v>0.63569388472044153</c:v>
                </c:pt>
                <c:pt idx="404">
                  <c:v>0.47996825839282253</c:v>
                </c:pt>
                <c:pt idx="405">
                  <c:v>0.49113675829953252</c:v>
                </c:pt>
                <c:pt idx="406">
                  <c:v>0.29702110982803126</c:v>
                </c:pt>
                <c:pt idx="407">
                  <c:v>0.5871805315649824</c:v>
                </c:pt>
                <c:pt idx="408">
                  <c:v>0.5225059765319553</c:v>
                </c:pt>
                <c:pt idx="409">
                  <c:v>0.68119013013739049</c:v>
                </c:pt>
                <c:pt idx="410">
                  <c:v>0.72002852208159496</c:v>
                </c:pt>
                <c:pt idx="411">
                  <c:v>0.45529449736725602</c:v>
                </c:pt>
                <c:pt idx="412">
                  <c:v>0.23332369078798559</c:v>
                </c:pt>
                <c:pt idx="413">
                  <c:v>0.47083434822848241</c:v>
                </c:pt>
                <c:pt idx="414">
                  <c:v>0.71584725602281818</c:v>
                </c:pt>
                <c:pt idx="415">
                  <c:v>0.45620245714515273</c:v>
                </c:pt>
                <c:pt idx="416">
                  <c:v>0.22106460427836086</c:v>
                </c:pt>
                <c:pt idx="417">
                  <c:v>0.44393751521111563</c:v>
                </c:pt>
                <c:pt idx="418">
                  <c:v>0.30062182845487995</c:v>
                </c:pt>
                <c:pt idx="419">
                  <c:v>0.61043956171151059</c:v>
                </c:pt>
                <c:pt idx="420">
                  <c:v>0.45938603238106879</c:v>
                </c:pt>
                <c:pt idx="421">
                  <c:v>0.21748479412309352</c:v>
                </c:pt>
                <c:pt idx="422">
                  <c:v>0.35295347769095747</c:v>
                </c:pt>
                <c:pt idx="423">
                  <c:v>0.55772297211308319</c:v>
                </c:pt>
                <c:pt idx="424">
                  <c:v>0.54675239010778753</c:v>
                </c:pt>
                <c:pt idx="425">
                  <c:v>0.52486156256184469</c:v>
                </c:pt>
                <c:pt idx="426">
                  <c:v>0.68448047895631081</c:v>
                </c:pt>
                <c:pt idx="427">
                  <c:v>0.57579070107126529</c:v>
                </c:pt>
                <c:pt idx="428">
                  <c:v>0.39891629594853117</c:v>
                </c:pt>
                <c:pt idx="429">
                  <c:v>0.42192709682329976</c:v>
                </c:pt>
                <c:pt idx="430">
                  <c:v>0.73683694803091659</c:v>
                </c:pt>
                <c:pt idx="431">
                  <c:v>0.43091396562838774</c:v>
                </c:pt>
                <c:pt idx="432">
                  <c:v>0.24449515934379881</c:v>
                </c:pt>
                <c:pt idx="433">
                  <c:v>0.58902026867289403</c:v>
                </c:pt>
                <c:pt idx="434">
                  <c:v>0.17320724636314261</c:v>
                </c:pt>
                <c:pt idx="435">
                  <c:v>0.56380304995716779</c:v>
                </c:pt>
                <c:pt idx="436">
                  <c:v>0.44480226028180447</c:v>
                </c:pt>
                <c:pt idx="437">
                  <c:v>0.74777455568000539</c:v>
                </c:pt>
                <c:pt idx="438">
                  <c:v>0.58796621248854453</c:v>
                </c:pt>
                <c:pt idx="439">
                  <c:v>0.33437453633781627</c:v>
                </c:pt>
                <c:pt idx="440">
                  <c:v>0.4882139501426217</c:v>
                </c:pt>
                <c:pt idx="441">
                  <c:v>0.2651566749668981</c:v>
                </c:pt>
                <c:pt idx="442">
                  <c:v>0.32323518311353239</c:v>
                </c:pt>
                <c:pt idx="443">
                  <c:v>0.49834270032198652</c:v>
                </c:pt>
                <c:pt idx="444">
                  <c:v>0.72713835249548686</c:v>
                </c:pt>
                <c:pt idx="445">
                  <c:v>0.8112321602047976</c:v>
                </c:pt>
                <c:pt idx="446">
                  <c:v>0.45229174130564126</c:v>
                </c:pt>
                <c:pt idx="447">
                  <c:v>0.52891780903421426</c:v>
                </c:pt>
                <c:pt idx="448">
                  <c:v>0.71259096116231246</c:v>
                </c:pt>
                <c:pt idx="449">
                  <c:v>0.50465931691043231</c:v>
                </c:pt>
                <c:pt idx="450">
                  <c:v>0.30617112399972479</c:v>
                </c:pt>
                <c:pt idx="451">
                  <c:v>0.49689042166213543</c:v>
                </c:pt>
                <c:pt idx="452">
                  <c:v>0.22345007060454095</c:v>
                </c:pt>
                <c:pt idx="453">
                  <c:v>0.15956980397504533</c:v>
                </c:pt>
                <c:pt idx="454">
                  <c:v>0.65159194304740931</c:v>
                </c:pt>
                <c:pt idx="455">
                  <c:v>0.59753107213264922</c:v>
                </c:pt>
                <c:pt idx="456">
                  <c:v>0.58168051521460529</c:v>
                </c:pt>
                <c:pt idx="457">
                  <c:v>0.32626982506621727</c:v>
                </c:pt>
                <c:pt idx="458">
                  <c:v>0.51105528355040031</c:v>
                </c:pt>
                <c:pt idx="459">
                  <c:v>0.45179028496296558</c:v>
                </c:pt>
                <c:pt idx="460">
                  <c:v>0.33671682667538927</c:v>
                </c:pt>
                <c:pt idx="461">
                  <c:v>0.5925881824056719</c:v>
                </c:pt>
                <c:pt idx="462">
                  <c:v>0.38538664425865582</c:v>
                </c:pt>
                <c:pt idx="463">
                  <c:v>0.40742217272890213</c:v>
                </c:pt>
                <c:pt idx="464">
                  <c:v>0.58416638601325399</c:v>
                </c:pt>
                <c:pt idx="465">
                  <c:v>0.28218090325746015</c:v>
                </c:pt>
                <c:pt idx="466">
                  <c:v>0.36927397118538186</c:v>
                </c:pt>
                <c:pt idx="467">
                  <c:v>0.5055772118928108</c:v>
                </c:pt>
                <c:pt idx="468">
                  <c:v>0.44738557337803425</c:v>
                </c:pt>
                <c:pt idx="469">
                  <c:v>0.31737149826432615</c:v>
                </c:pt>
                <c:pt idx="470">
                  <c:v>0.40551399308944758</c:v>
                </c:pt>
                <c:pt idx="471">
                  <c:v>0.74509818327299127</c:v>
                </c:pt>
                <c:pt idx="472">
                  <c:v>0.71898593515202835</c:v>
                </c:pt>
                <c:pt idx="473">
                  <c:v>0.3350870064987867</c:v>
                </c:pt>
                <c:pt idx="474">
                  <c:v>0.41691205624520034</c:v>
                </c:pt>
                <c:pt idx="475">
                  <c:v>0.5685026385874915</c:v>
                </c:pt>
                <c:pt idx="476">
                  <c:v>0.51969101781499627</c:v>
                </c:pt>
                <c:pt idx="477">
                  <c:v>0.37545452325077766</c:v>
                </c:pt>
                <c:pt idx="478">
                  <c:v>0.52428376911769503</c:v>
                </c:pt>
                <c:pt idx="479">
                  <c:v>0.50919136836478196</c:v>
                </c:pt>
                <c:pt idx="480">
                  <c:v>0.45689709129582912</c:v>
                </c:pt>
                <c:pt idx="481">
                  <c:v>0.38788406829195621</c:v>
                </c:pt>
                <c:pt idx="482">
                  <c:v>0.33650525625461863</c:v>
                </c:pt>
                <c:pt idx="483">
                  <c:v>0.22960253658401583</c:v>
                </c:pt>
                <c:pt idx="484">
                  <c:v>0.70520370144782718</c:v>
                </c:pt>
                <c:pt idx="485">
                  <c:v>0.50213194332423006</c:v>
                </c:pt>
                <c:pt idx="486">
                  <c:v>0.30115952325446016</c:v>
                </c:pt>
                <c:pt idx="487">
                  <c:v>0.45916738160198789</c:v>
                </c:pt>
                <c:pt idx="488">
                  <c:v>0.38964908338622428</c:v>
                </c:pt>
                <c:pt idx="489">
                  <c:v>0.47850833475502325</c:v>
                </c:pt>
                <c:pt idx="490">
                  <c:v>0.38404947192835442</c:v>
                </c:pt>
                <c:pt idx="491">
                  <c:v>0.53287041448813788</c:v>
                </c:pt>
                <c:pt idx="492">
                  <c:v>0.50120591469960696</c:v>
                </c:pt>
                <c:pt idx="493">
                  <c:v>0.72593476069030094</c:v>
                </c:pt>
                <c:pt idx="494">
                  <c:v>0.50630370954954673</c:v>
                </c:pt>
                <c:pt idx="495">
                  <c:v>0.49644777418445507</c:v>
                </c:pt>
                <c:pt idx="496">
                  <c:v>0.48068658124094116</c:v>
                </c:pt>
                <c:pt idx="497">
                  <c:v>0.40475681222479448</c:v>
                </c:pt>
                <c:pt idx="498">
                  <c:v>0.67089433295539513</c:v>
                </c:pt>
                <c:pt idx="499">
                  <c:v>0.41078725047178671</c:v>
                </c:pt>
                <c:pt idx="500">
                  <c:v>0.48594632643126584</c:v>
                </c:pt>
                <c:pt idx="501">
                  <c:v>0.33096938970332951</c:v>
                </c:pt>
                <c:pt idx="502">
                  <c:v>0.36816410564543794</c:v>
                </c:pt>
                <c:pt idx="503">
                  <c:v>0.38634107354078134</c:v>
                </c:pt>
                <c:pt idx="504">
                  <c:v>0.68624076940349055</c:v>
                </c:pt>
                <c:pt idx="505">
                  <c:v>0.55191869706336505</c:v>
                </c:pt>
                <c:pt idx="506">
                  <c:v>0.49122804457567693</c:v>
                </c:pt>
                <c:pt idx="507">
                  <c:v>0.44839146561131527</c:v>
                </c:pt>
                <c:pt idx="508">
                  <c:v>0.17320925507200077</c:v>
                </c:pt>
                <c:pt idx="509">
                  <c:v>0.44818868673398066</c:v>
                </c:pt>
                <c:pt idx="510">
                  <c:v>0.17154560288418313</c:v>
                </c:pt>
                <c:pt idx="511">
                  <c:v>0.68189828698119237</c:v>
                </c:pt>
                <c:pt idx="512">
                  <c:v>0.55778593773586149</c:v>
                </c:pt>
                <c:pt idx="513">
                  <c:v>0.49037305923109514</c:v>
                </c:pt>
                <c:pt idx="514">
                  <c:v>0.25565443897966555</c:v>
                </c:pt>
                <c:pt idx="515">
                  <c:v>0.41526675383236616</c:v>
                </c:pt>
                <c:pt idx="516">
                  <c:v>0.34559596942184417</c:v>
                </c:pt>
                <c:pt idx="517">
                  <c:v>0.53546199699904939</c:v>
                </c:pt>
                <c:pt idx="518">
                  <c:v>0.31056065622450657</c:v>
                </c:pt>
                <c:pt idx="519">
                  <c:v>0.29963616812698846</c:v>
                </c:pt>
                <c:pt idx="520">
                  <c:v>0.36523145388098466</c:v>
                </c:pt>
                <c:pt idx="521">
                  <c:v>0.52906316180235524</c:v>
                </c:pt>
                <c:pt idx="522">
                  <c:v>0.39590612277372683</c:v>
                </c:pt>
                <c:pt idx="523">
                  <c:v>0.5020465901050063</c:v>
                </c:pt>
                <c:pt idx="524">
                  <c:v>0.1787537367382869</c:v>
                </c:pt>
                <c:pt idx="525">
                  <c:v>0.3281645813888408</c:v>
                </c:pt>
                <c:pt idx="526">
                  <c:v>0.4250893664883944</c:v>
                </c:pt>
                <c:pt idx="527">
                  <c:v>0.36297126687169529</c:v>
                </c:pt>
                <c:pt idx="528">
                  <c:v>0.17427613148363044</c:v>
                </c:pt>
                <c:pt idx="529">
                  <c:v>0.70266123240792888</c:v>
                </c:pt>
                <c:pt idx="530">
                  <c:v>0.79634417309506045</c:v>
                </c:pt>
                <c:pt idx="531">
                  <c:v>0.25080348833241378</c:v>
                </c:pt>
                <c:pt idx="532">
                  <c:v>0.29846990808411644</c:v>
                </c:pt>
                <c:pt idx="533">
                  <c:v>0.46766166645371293</c:v>
                </c:pt>
                <c:pt idx="534">
                  <c:v>0.44542954708777704</c:v>
                </c:pt>
                <c:pt idx="535">
                  <c:v>0.72912117482686412</c:v>
                </c:pt>
                <c:pt idx="536">
                  <c:v>0.62715130649080186</c:v>
                </c:pt>
                <c:pt idx="537">
                  <c:v>0.75618349609476088</c:v>
                </c:pt>
                <c:pt idx="538">
                  <c:v>0.57990798410152944</c:v>
                </c:pt>
                <c:pt idx="539">
                  <c:v>0.34458633476714634</c:v>
                </c:pt>
                <c:pt idx="540">
                  <c:v>0.34989866265979852</c:v>
                </c:pt>
                <c:pt idx="541">
                  <c:v>0.16927279977011239</c:v>
                </c:pt>
                <c:pt idx="542">
                  <c:v>0.45455156498208665</c:v>
                </c:pt>
                <c:pt idx="543">
                  <c:v>0.63256808513607488</c:v>
                </c:pt>
                <c:pt idx="544">
                  <c:v>0.66710766835637281</c:v>
                </c:pt>
                <c:pt idx="545">
                  <c:v>0.40693957041207557</c:v>
                </c:pt>
                <c:pt idx="546">
                  <c:v>0.38584285292464665</c:v>
                </c:pt>
                <c:pt idx="547">
                  <c:v>0.28167793422176324</c:v>
                </c:pt>
                <c:pt idx="548">
                  <c:v>0.54281699845680176</c:v>
                </c:pt>
                <c:pt idx="549">
                  <c:v>0.63554521675266462</c:v>
                </c:pt>
                <c:pt idx="550">
                  <c:v>0.20382689414417926</c:v>
                </c:pt>
                <c:pt idx="551">
                  <c:v>0.426243190599216</c:v>
                </c:pt>
                <c:pt idx="552">
                  <c:v>0.38155638076198117</c:v>
                </c:pt>
                <c:pt idx="553">
                  <c:v>0.23778126982238504</c:v>
                </c:pt>
                <c:pt idx="554">
                  <c:v>0.34993449495439621</c:v>
                </c:pt>
                <c:pt idx="555">
                  <c:v>0.30501291603706576</c:v>
                </c:pt>
                <c:pt idx="556">
                  <c:v>0.1632743309525756</c:v>
                </c:pt>
                <c:pt idx="557">
                  <c:v>0.64739444579402705</c:v>
                </c:pt>
                <c:pt idx="558">
                  <c:v>0.44587152048394713</c:v>
                </c:pt>
                <c:pt idx="559">
                  <c:v>0.13738206328589</c:v>
                </c:pt>
                <c:pt idx="560">
                  <c:v>0.76693192665650178</c:v>
                </c:pt>
                <c:pt idx="561">
                  <c:v>0.79035203192041148</c:v>
                </c:pt>
                <c:pt idx="562">
                  <c:v>0.47444653297280853</c:v>
                </c:pt>
                <c:pt idx="563">
                  <c:v>0.48061913912769805</c:v>
                </c:pt>
                <c:pt idx="564">
                  <c:v>0.48506363940212521</c:v>
                </c:pt>
                <c:pt idx="565">
                  <c:v>0.53718990795584043</c:v>
                </c:pt>
                <c:pt idx="566">
                  <c:v>0.74029156434787102</c:v>
                </c:pt>
                <c:pt idx="567">
                  <c:v>0.38175312447257764</c:v>
                </c:pt>
                <c:pt idx="568">
                  <c:v>0.1948250573075293</c:v>
                </c:pt>
                <c:pt idx="569">
                  <c:v>0.68181177909007329</c:v>
                </c:pt>
                <c:pt idx="570">
                  <c:v>0.45097412276231569</c:v>
                </c:pt>
                <c:pt idx="571">
                  <c:v>0.19997982187072391</c:v>
                </c:pt>
                <c:pt idx="572">
                  <c:v>0.68920162362098114</c:v>
                </c:pt>
                <c:pt idx="573">
                  <c:v>0.23247583268745295</c:v>
                </c:pt>
                <c:pt idx="574">
                  <c:v>0.2085868780104381</c:v>
                </c:pt>
                <c:pt idx="575">
                  <c:v>0.36144313567707392</c:v>
                </c:pt>
                <c:pt idx="576">
                  <c:v>0.40627606528514004</c:v>
                </c:pt>
                <c:pt idx="577">
                  <c:v>0.62678056314046182</c:v>
                </c:pt>
                <c:pt idx="578">
                  <c:v>0.66793187742411519</c:v>
                </c:pt>
                <c:pt idx="579">
                  <c:v>0.1357090613958695</c:v>
                </c:pt>
                <c:pt idx="580">
                  <c:v>0.57188008429790016</c:v>
                </c:pt>
                <c:pt idx="581">
                  <c:v>0.480100167235046</c:v>
                </c:pt>
                <c:pt idx="582">
                  <c:v>0.60232108152235564</c:v>
                </c:pt>
                <c:pt idx="583">
                  <c:v>0.58640946998183452</c:v>
                </c:pt>
                <c:pt idx="584">
                  <c:v>0.56366309988695806</c:v>
                </c:pt>
                <c:pt idx="585">
                  <c:v>0.66436869756628747</c:v>
                </c:pt>
                <c:pt idx="586">
                  <c:v>0.47345404784907708</c:v>
                </c:pt>
                <c:pt idx="587">
                  <c:v>0.4399913925324892</c:v>
                </c:pt>
                <c:pt idx="588">
                  <c:v>0.54089696263580811</c:v>
                </c:pt>
                <c:pt idx="589">
                  <c:v>0.39053338625688683</c:v>
                </c:pt>
                <c:pt idx="590">
                  <c:v>0.61258511700100549</c:v>
                </c:pt>
                <c:pt idx="591">
                  <c:v>0.57721251218383451</c:v>
                </c:pt>
                <c:pt idx="592">
                  <c:v>0.52340952495139104</c:v>
                </c:pt>
                <c:pt idx="593">
                  <c:v>0.3166712709963197</c:v>
                </c:pt>
                <c:pt idx="594">
                  <c:v>0.51517967586707747</c:v>
                </c:pt>
                <c:pt idx="595">
                  <c:v>0.2861899535534918</c:v>
                </c:pt>
                <c:pt idx="596">
                  <c:v>0.74923601338095835</c:v>
                </c:pt>
                <c:pt idx="597">
                  <c:v>0.5446321272118122</c:v>
                </c:pt>
                <c:pt idx="598">
                  <c:v>0.50850333390828939</c:v>
                </c:pt>
                <c:pt idx="599">
                  <c:v>0.39612454397917474</c:v>
                </c:pt>
                <c:pt idx="600">
                  <c:v>0.71867166891178724</c:v>
                </c:pt>
                <c:pt idx="601">
                  <c:v>0.58399406118960417</c:v>
                </c:pt>
                <c:pt idx="602">
                  <c:v>0.74692540093062099</c:v>
                </c:pt>
                <c:pt idx="603">
                  <c:v>0.17731356730738837</c:v>
                </c:pt>
                <c:pt idx="604">
                  <c:v>0.81419482707170532</c:v>
                </c:pt>
                <c:pt idx="605">
                  <c:v>0.41629884757786095</c:v>
                </c:pt>
                <c:pt idx="606">
                  <c:v>0.29844598365955405</c:v>
                </c:pt>
                <c:pt idx="607">
                  <c:v>0.37892831638022034</c:v>
                </c:pt>
                <c:pt idx="608">
                  <c:v>0.2515313346122543</c:v>
                </c:pt>
                <c:pt idx="609">
                  <c:v>0.65117456298284793</c:v>
                </c:pt>
                <c:pt idx="610">
                  <c:v>0.16718949181902018</c:v>
                </c:pt>
                <c:pt idx="611">
                  <c:v>0.42670208292357786</c:v>
                </c:pt>
                <c:pt idx="612">
                  <c:v>0.70855735699530442</c:v>
                </c:pt>
                <c:pt idx="613">
                  <c:v>0.70252504705857932</c:v>
                </c:pt>
                <c:pt idx="614">
                  <c:v>0.596432981816716</c:v>
                </c:pt>
                <c:pt idx="615">
                  <c:v>0.39119347460925513</c:v>
                </c:pt>
                <c:pt idx="616">
                  <c:v>0.45796888907877403</c:v>
                </c:pt>
                <c:pt idx="617">
                  <c:v>0.42785002740100764</c:v>
                </c:pt>
                <c:pt idx="618">
                  <c:v>0.48232125483035465</c:v>
                </c:pt>
                <c:pt idx="619">
                  <c:v>0.41865916408931114</c:v>
                </c:pt>
                <c:pt idx="620">
                  <c:v>0.2493540983983544</c:v>
                </c:pt>
                <c:pt idx="621">
                  <c:v>0.78310410007542497</c:v>
                </c:pt>
                <c:pt idx="622">
                  <c:v>0.37580321641537939</c:v>
                </c:pt>
                <c:pt idx="623">
                  <c:v>0.39092958284374435</c:v>
                </c:pt>
                <c:pt idx="624">
                  <c:v>0.48777567093025403</c:v>
                </c:pt>
                <c:pt idx="625">
                  <c:v>0.66274625416485999</c:v>
                </c:pt>
                <c:pt idx="626">
                  <c:v>0.5178131969417259</c:v>
                </c:pt>
                <c:pt idx="627">
                  <c:v>0.72072058159536512</c:v>
                </c:pt>
                <c:pt idx="628">
                  <c:v>0.42432521412979568</c:v>
                </c:pt>
                <c:pt idx="629">
                  <c:v>0.49048715863806619</c:v>
                </c:pt>
                <c:pt idx="630">
                  <c:v>0.48325117646687293</c:v>
                </c:pt>
                <c:pt idx="631">
                  <c:v>0.62956756807562386</c:v>
                </c:pt>
                <c:pt idx="632">
                  <c:v>0.7068428961428046</c:v>
                </c:pt>
                <c:pt idx="633">
                  <c:v>0.30036816827029555</c:v>
                </c:pt>
                <c:pt idx="634">
                  <c:v>0.542749105727523</c:v>
                </c:pt>
                <c:pt idx="635">
                  <c:v>0.625602766731988</c:v>
                </c:pt>
                <c:pt idx="636">
                  <c:v>0.17471478830640871</c:v>
                </c:pt>
                <c:pt idx="637">
                  <c:v>0.7896203877500847</c:v>
                </c:pt>
                <c:pt idx="638">
                  <c:v>0.76743920504781205</c:v>
                </c:pt>
                <c:pt idx="639">
                  <c:v>0.63914639872011392</c:v>
                </c:pt>
                <c:pt idx="640">
                  <c:v>0.7892329250450435</c:v>
                </c:pt>
                <c:pt idx="641">
                  <c:v>0.51160741428222667</c:v>
                </c:pt>
                <c:pt idx="642">
                  <c:v>0.59347363929903929</c:v>
                </c:pt>
                <c:pt idx="643">
                  <c:v>0.48132883077445815</c:v>
                </c:pt>
                <c:pt idx="644">
                  <c:v>0.20866197615619012</c:v>
                </c:pt>
                <c:pt idx="645">
                  <c:v>0.40443251415922649</c:v>
                </c:pt>
                <c:pt idx="646">
                  <c:v>0.34567905293367351</c:v>
                </c:pt>
                <c:pt idx="647">
                  <c:v>0.25423098087977608</c:v>
                </c:pt>
                <c:pt idx="648">
                  <c:v>0.47051727940713856</c:v>
                </c:pt>
                <c:pt idx="649">
                  <c:v>0.3653295842444631</c:v>
                </c:pt>
                <c:pt idx="650">
                  <c:v>0.71051681550738877</c:v>
                </c:pt>
                <c:pt idx="651">
                  <c:v>0.62359032617630683</c:v>
                </c:pt>
                <c:pt idx="652">
                  <c:v>0.51004788309534055</c:v>
                </c:pt>
                <c:pt idx="653">
                  <c:v>0.6900276680002867</c:v>
                </c:pt>
                <c:pt idx="654">
                  <c:v>0.72462030252553766</c:v>
                </c:pt>
                <c:pt idx="655">
                  <c:v>0.60883518416555682</c:v>
                </c:pt>
                <c:pt idx="656">
                  <c:v>0.21729709319198559</c:v>
                </c:pt>
                <c:pt idx="657">
                  <c:v>0.47097953834336542</c:v>
                </c:pt>
                <c:pt idx="658">
                  <c:v>0.46224261763997815</c:v>
                </c:pt>
                <c:pt idx="659">
                  <c:v>0.54095082985989562</c:v>
                </c:pt>
                <c:pt idx="660">
                  <c:v>0.45890611256489289</c:v>
                </c:pt>
                <c:pt idx="661">
                  <c:v>0.32342276649558632</c:v>
                </c:pt>
                <c:pt idx="662">
                  <c:v>0.59876617728185588</c:v>
                </c:pt>
                <c:pt idx="663">
                  <c:v>0.55796896594591772</c:v>
                </c:pt>
                <c:pt idx="664">
                  <c:v>0.4967943242023064</c:v>
                </c:pt>
                <c:pt idx="665">
                  <c:v>0.43255280846444377</c:v>
                </c:pt>
                <c:pt idx="666">
                  <c:v>0.51806366139431359</c:v>
                </c:pt>
                <c:pt idx="667">
                  <c:v>0.66768410123393329</c:v>
                </c:pt>
                <c:pt idx="668">
                  <c:v>0.4785385681520532</c:v>
                </c:pt>
                <c:pt idx="669">
                  <c:v>0.53452915679505819</c:v>
                </c:pt>
                <c:pt idx="670">
                  <c:v>0.37815914965642849</c:v>
                </c:pt>
                <c:pt idx="671">
                  <c:v>0.52886749783554599</c:v>
                </c:pt>
                <c:pt idx="672">
                  <c:v>0.64978335046234059</c:v>
                </c:pt>
                <c:pt idx="673">
                  <c:v>0.60428191959744315</c:v>
                </c:pt>
                <c:pt idx="674">
                  <c:v>0.16729114074244519</c:v>
                </c:pt>
                <c:pt idx="675">
                  <c:v>0.33339550450871097</c:v>
                </c:pt>
                <c:pt idx="676">
                  <c:v>0.63626371881075827</c:v>
                </c:pt>
                <c:pt idx="677">
                  <c:v>0.44140391625920694</c:v>
                </c:pt>
                <c:pt idx="678">
                  <c:v>0.64549085780661808</c:v>
                </c:pt>
                <c:pt idx="679">
                  <c:v>0.49958050811124</c:v>
                </c:pt>
                <c:pt idx="680">
                  <c:v>0.67982780523412745</c:v>
                </c:pt>
                <c:pt idx="681">
                  <c:v>0.44441479534263645</c:v>
                </c:pt>
                <c:pt idx="682">
                  <c:v>0.81681454702016243</c:v>
                </c:pt>
                <c:pt idx="683">
                  <c:v>0.3521167183762508</c:v>
                </c:pt>
                <c:pt idx="684">
                  <c:v>0.46315908820669721</c:v>
                </c:pt>
                <c:pt idx="685">
                  <c:v>0.35256287904541667</c:v>
                </c:pt>
                <c:pt idx="686">
                  <c:v>0.36964683894044015</c:v>
                </c:pt>
                <c:pt idx="687">
                  <c:v>0.16708687096048744</c:v>
                </c:pt>
                <c:pt idx="688">
                  <c:v>0.20614481355357253</c:v>
                </c:pt>
                <c:pt idx="689">
                  <c:v>0.45885045489397758</c:v>
                </c:pt>
                <c:pt idx="690">
                  <c:v>0.37471906110623737</c:v>
                </c:pt>
                <c:pt idx="691">
                  <c:v>0.2418170637697464</c:v>
                </c:pt>
                <c:pt idx="692">
                  <c:v>0.70564145185571103</c:v>
                </c:pt>
                <c:pt idx="693">
                  <c:v>0.3522652395580676</c:v>
                </c:pt>
                <c:pt idx="694">
                  <c:v>0.24078080759625567</c:v>
                </c:pt>
                <c:pt idx="695">
                  <c:v>0.32257860489759571</c:v>
                </c:pt>
                <c:pt idx="696">
                  <c:v>0.59491835797794845</c:v>
                </c:pt>
                <c:pt idx="697">
                  <c:v>0.61668504559949755</c:v>
                </c:pt>
                <c:pt idx="698">
                  <c:v>0.49285171060120087</c:v>
                </c:pt>
                <c:pt idx="699">
                  <c:v>0.51772953544332612</c:v>
                </c:pt>
                <c:pt idx="700">
                  <c:v>0.4122963061027759</c:v>
                </c:pt>
                <c:pt idx="701">
                  <c:v>0.53357322712426425</c:v>
                </c:pt>
                <c:pt idx="702">
                  <c:v>0.53640480150681558</c:v>
                </c:pt>
                <c:pt idx="703">
                  <c:v>0.66264498013062978</c:v>
                </c:pt>
                <c:pt idx="704">
                  <c:v>0.50399826169904249</c:v>
                </c:pt>
                <c:pt idx="705">
                  <c:v>0.24660688867097202</c:v>
                </c:pt>
                <c:pt idx="706">
                  <c:v>0.51716056797183385</c:v>
                </c:pt>
                <c:pt idx="707">
                  <c:v>0.22206297636111186</c:v>
                </c:pt>
                <c:pt idx="708">
                  <c:v>0.22394301075230436</c:v>
                </c:pt>
                <c:pt idx="709">
                  <c:v>0.57097822973424928</c:v>
                </c:pt>
                <c:pt idx="710">
                  <c:v>0.14476755128337646</c:v>
                </c:pt>
                <c:pt idx="711">
                  <c:v>0.42125444298708131</c:v>
                </c:pt>
                <c:pt idx="712">
                  <c:v>0.50063153541437844</c:v>
                </c:pt>
                <c:pt idx="713">
                  <c:v>0.56844328971913038</c:v>
                </c:pt>
                <c:pt idx="714">
                  <c:v>0.453499708551727</c:v>
                </c:pt>
                <c:pt idx="715">
                  <c:v>0.69690433896397241</c:v>
                </c:pt>
                <c:pt idx="716">
                  <c:v>0.42608285911492783</c:v>
                </c:pt>
                <c:pt idx="717">
                  <c:v>0.44558591341943299</c:v>
                </c:pt>
                <c:pt idx="718">
                  <c:v>0.36407958942671764</c:v>
                </c:pt>
                <c:pt idx="719">
                  <c:v>0.64808335334871481</c:v>
                </c:pt>
                <c:pt idx="720">
                  <c:v>0.48046814887893791</c:v>
                </c:pt>
                <c:pt idx="721">
                  <c:v>0.46978244303074768</c:v>
                </c:pt>
                <c:pt idx="722">
                  <c:v>0.2510306886194914</c:v>
                </c:pt>
                <c:pt idx="723">
                  <c:v>0.22034636743525216</c:v>
                </c:pt>
                <c:pt idx="724">
                  <c:v>0.43788341554001375</c:v>
                </c:pt>
                <c:pt idx="725">
                  <c:v>0.36638124296373636</c:v>
                </c:pt>
                <c:pt idx="726">
                  <c:v>0.31026281420849194</c:v>
                </c:pt>
                <c:pt idx="727">
                  <c:v>0.40118957617973888</c:v>
                </c:pt>
                <c:pt idx="728">
                  <c:v>0.19798186813566729</c:v>
                </c:pt>
                <c:pt idx="729">
                  <c:v>0.76076268759452959</c:v>
                </c:pt>
                <c:pt idx="730">
                  <c:v>0.67493515576554575</c:v>
                </c:pt>
                <c:pt idx="731">
                  <c:v>0.69224301087513973</c:v>
                </c:pt>
                <c:pt idx="732">
                  <c:v>0.44023796328701487</c:v>
                </c:pt>
                <c:pt idx="733">
                  <c:v>0.56681901504952981</c:v>
                </c:pt>
                <c:pt idx="734">
                  <c:v>0.62692419708455938</c:v>
                </c:pt>
                <c:pt idx="735">
                  <c:v>0.26651243520224027</c:v>
                </c:pt>
                <c:pt idx="736">
                  <c:v>0.37989149733909211</c:v>
                </c:pt>
                <c:pt idx="737">
                  <c:v>0.36940961703955011</c:v>
                </c:pt>
                <c:pt idx="738">
                  <c:v>0.36785055151335977</c:v>
                </c:pt>
                <c:pt idx="739">
                  <c:v>0.48701970850412052</c:v>
                </c:pt>
                <c:pt idx="740">
                  <c:v>0.4672672933666453</c:v>
                </c:pt>
                <c:pt idx="741">
                  <c:v>0.80209981406245268</c:v>
                </c:pt>
                <c:pt idx="742">
                  <c:v>0.76541925108017828</c:v>
                </c:pt>
                <c:pt idx="743">
                  <c:v>0.67661796947290131</c:v>
                </c:pt>
                <c:pt idx="744">
                  <c:v>0.497707075436778</c:v>
                </c:pt>
                <c:pt idx="745">
                  <c:v>0.56558724625639789</c:v>
                </c:pt>
                <c:pt idx="746">
                  <c:v>0.6362544872708692</c:v>
                </c:pt>
                <c:pt idx="747">
                  <c:v>0.49080959206999375</c:v>
                </c:pt>
                <c:pt idx="748">
                  <c:v>0.32305999828278148</c:v>
                </c:pt>
                <c:pt idx="749">
                  <c:v>0.62568397578061696</c:v>
                </c:pt>
                <c:pt idx="750">
                  <c:v>0.581308583271817</c:v>
                </c:pt>
                <c:pt idx="751">
                  <c:v>0.80765860488151942</c:v>
                </c:pt>
                <c:pt idx="752">
                  <c:v>0.50384356589054979</c:v>
                </c:pt>
                <c:pt idx="753">
                  <c:v>0.53773642428323321</c:v>
                </c:pt>
                <c:pt idx="754">
                  <c:v>0.40600682359198398</c:v>
                </c:pt>
                <c:pt idx="755">
                  <c:v>0.28991045471343979</c:v>
                </c:pt>
                <c:pt idx="756">
                  <c:v>0.28524706654218857</c:v>
                </c:pt>
                <c:pt idx="757">
                  <c:v>0.1706453739025538</c:v>
                </c:pt>
                <c:pt idx="758">
                  <c:v>0.20337209555275532</c:v>
                </c:pt>
                <c:pt idx="759">
                  <c:v>0.69684795032441904</c:v>
                </c:pt>
                <c:pt idx="760">
                  <c:v>0.28130426169259976</c:v>
                </c:pt>
                <c:pt idx="761">
                  <c:v>0.17017685177564706</c:v>
                </c:pt>
                <c:pt idx="762">
                  <c:v>0.57302010114329194</c:v>
                </c:pt>
                <c:pt idx="763">
                  <c:v>0.13896669898265032</c:v>
                </c:pt>
                <c:pt idx="764">
                  <c:v>0.59001398813219608</c:v>
                </c:pt>
                <c:pt idx="765">
                  <c:v>0.67237893978347585</c:v>
                </c:pt>
                <c:pt idx="766">
                  <c:v>0.66057296237432772</c:v>
                </c:pt>
                <c:pt idx="767">
                  <c:v>0.41822255786296686</c:v>
                </c:pt>
                <c:pt idx="768">
                  <c:v>0.38528307422395336</c:v>
                </c:pt>
                <c:pt idx="769">
                  <c:v>0.3928527158765453</c:v>
                </c:pt>
                <c:pt idx="770">
                  <c:v>0.24183974870884481</c:v>
                </c:pt>
                <c:pt idx="771">
                  <c:v>0.44593194740092945</c:v>
                </c:pt>
                <c:pt idx="772">
                  <c:v>0.51649004280709776</c:v>
                </c:pt>
                <c:pt idx="773">
                  <c:v>0.39403742578008705</c:v>
                </c:pt>
                <c:pt idx="774">
                  <c:v>0.75049961173561663</c:v>
                </c:pt>
                <c:pt idx="775">
                  <c:v>0.20973335143363825</c:v>
                </c:pt>
                <c:pt idx="776">
                  <c:v>0.28894426828072917</c:v>
                </c:pt>
                <c:pt idx="777">
                  <c:v>0.65010286243444182</c:v>
                </c:pt>
                <c:pt idx="778">
                  <c:v>0.69019021926437485</c:v>
                </c:pt>
                <c:pt idx="779">
                  <c:v>0.73499811945320626</c:v>
                </c:pt>
                <c:pt idx="780">
                  <c:v>0.53294646887890484</c:v>
                </c:pt>
                <c:pt idx="781">
                  <c:v>0.56754139832776784</c:v>
                </c:pt>
                <c:pt idx="782">
                  <c:v>0.52267685841951717</c:v>
                </c:pt>
                <c:pt idx="783">
                  <c:v>0.2428613237072357</c:v>
                </c:pt>
                <c:pt idx="784">
                  <c:v>0.41207988598991274</c:v>
                </c:pt>
                <c:pt idx="785">
                  <c:v>0.27898354974345052</c:v>
                </c:pt>
                <c:pt idx="786">
                  <c:v>0.54629795389045521</c:v>
                </c:pt>
                <c:pt idx="787">
                  <c:v>0.5273610288193501</c:v>
                </c:pt>
                <c:pt idx="788">
                  <c:v>0.59124579940411781</c:v>
                </c:pt>
                <c:pt idx="789">
                  <c:v>0.33202930318462365</c:v>
                </c:pt>
                <c:pt idx="790">
                  <c:v>0.4108145255825652</c:v>
                </c:pt>
                <c:pt idx="791">
                  <c:v>0.66215760729327811</c:v>
                </c:pt>
                <c:pt idx="792">
                  <c:v>0.3570022900030303</c:v>
                </c:pt>
                <c:pt idx="793">
                  <c:v>0.40493966318041369</c:v>
                </c:pt>
                <c:pt idx="794">
                  <c:v>0.38659663725199384</c:v>
                </c:pt>
                <c:pt idx="795">
                  <c:v>0.54431691507285707</c:v>
                </c:pt>
                <c:pt idx="796">
                  <c:v>0.57695878662698696</c:v>
                </c:pt>
                <c:pt idx="797">
                  <c:v>0.32435826397668099</c:v>
                </c:pt>
                <c:pt idx="798">
                  <c:v>0.57909840273639712</c:v>
                </c:pt>
                <c:pt idx="799">
                  <c:v>0.7960327168870337</c:v>
                </c:pt>
                <c:pt idx="800">
                  <c:v>0.59365816182209163</c:v>
                </c:pt>
                <c:pt idx="801">
                  <c:v>0.67320438773739144</c:v>
                </c:pt>
                <c:pt idx="802">
                  <c:v>0.29932340866440604</c:v>
                </c:pt>
                <c:pt idx="803">
                  <c:v>0.17819284140772529</c:v>
                </c:pt>
                <c:pt idx="804">
                  <c:v>0.48968503107579592</c:v>
                </c:pt>
                <c:pt idx="805">
                  <c:v>0.46162372646599592</c:v>
                </c:pt>
                <c:pt idx="806">
                  <c:v>0.35086528916685261</c:v>
                </c:pt>
                <c:pt idx="807">
                  <c:v>0.45173569145887499</c:v>
                </c:pt>
                <c:pt idx="808">
                  <c:v>0.48474870958015065</c:v>
                </c:pt>
                <c:pt idx="809">
                  <c:v>0.55273218303928928</c:v>
                </c:pt>
                <c:pt idx="810">
                  <c:v>0.25114760752440446</c:v>
                </c:pt>
                <c:pt idx="811">
                  <c:v>0.81523729986972115</c:v>
                </c:pt>
                <c:pt idx="812">
                  <c:v>0.37034546367160542</c:v>
                </c:pt>
                <c:pt idx="813">
                  <c:v>0.36848925321178977</c:v>
                </c:pt>
                <c:pt idx="814">
                  <c:v>0.58873189895343958</c:v>
                </c:pt>
                <c:pt idx="815">
                  <c:v>0.36128974660415591</c:v>
                </c:pt>
                <c:pt idx="816">
                  <c:v>0.50943909192597425</c:v>
                </c:pt>
                <c:pt idx="817">
                  <c:v>0.64931405959553101</c:v>
                </c:pt>
                <c:pt idx="818">
                  <c:v>0.32077571676639621</c:v>
                </c:pt>
                <c:pt idx="819">
                  <c:v>0.50238084071967215</c:v>
                </c:pt>
                <c:pt idx="820">
                  <c:v>0.31388540532181053</c:v>
                </c:pt>
                <c:pt idx="821">
                  <c:v>0.38260163443859074</c:v>
                </c:pt>
                <c:pt idx="822">
                  <c:v>0.43675619382332109</c:v>
                </c:pt>
                <c:pt idx="823">
                  <c:v>0.57720533177252387</c:v>
                </c:pt>
                <c:pt idx="824">
                  <c:v>0.2006553348966903</c:v>
                </c:pt>
                <c:pt idx="825">
                  <c:v>0.48624488884465206</c:v>
                </c:pt>
                <c:pt idx="826">
                  <c:v>0.74218818058379143</c:v>
                </c:pt>
                <c:pt idx="827">
                  <c:v>0.563792935202865</c:v>
                </c:pt>
                <c:pt idx="828">
                  <c:v>0.39014650555361002</c:v>
                </c:pt>
                <c:pt idx="829">
                  <c:v>0.3306733565133062</c:v>
                </c:pt>
                <c:pt idx="830">
                  <c:v>0.44175902607717726</c:v>
                </c:pt>
                <c:pt idx="831">
                  <c:v>0.58528948199061559</c:v>
                </c:pt>
                <c:pt idx="832">
                  <c:v>0.68204935770691733</c:v>
                </c:pt>
                <c:pt idx="833">
                  <c:v>0.30008585867542803</c:v>
                </c:pt>
                <c:pt idx="834">
                  <c:v>0.51605233039302933</c:v>
                </c:pt>
                <c:pt idx="835">
                  <c:v>0.78389078486929187</c:v>
                </c:pt>
                <c:pt idx="836">
                  <c:v>0.32681002584206209</c:v>
                </c:pt>
                <c:pt idx="837">
                  <c:v>0.52119300223674392</c:v>
                </c:pt>
                <c:pt idx="838">
                  <c:v>0.29067469108476129</c:v>
                </c:pt>
                <c:pt idx="839">
                  <c:v>0.4210965144268739</c:v>
                </c:pt>
                <c:pt idx="840">
                  <c:v>0.47446581589435816</c:v>
                </c:pt>
                <c:pt idx="841">
                  <c:v>0.44139550868214072</c:v>
                </c:pt>
                <c:pt idx="842">
                  <c:v>0.4625701619370377</c:v>
                </c:pt>
                <c:pt idx="843">
                  <c:v>0.40543259730443459</c:v>
                </c:pt>
                <c:pt idx="844">
                  <c:v>0.23234210893884344</c:v>
                </c:pt>
                <c:pt idx="845">
                  <c:v>0.6274011209889705</c:v>
                </c:pt>
                <c:pt idx="846">
                  <c:v>0.62473787613334131</c:v>
                </c:pt>
                <c:pt idx="847">
                  <c:v>0.5116452727690346</c:v>
                </c:pt>
                <c:pt idx="848">
                  <c:v>0.4364094296975487</c:v>
                </c:pt>
                <c:pt idx="849">
                  <c:v>0.4980815004542809</c:v>
                </c:pt>
                <c:pt idx="850">
                  <c:v>0.82254394118716556</c:v>
                </c:pt>
                <c:pt idx="851">
                  <c:v>0.42638625363709798</c:v>
                </c:pt>
                <c:pt idx="852">
                  <c:v>0.42519479860669601</c:v>
                </c:pt>
                <c:pt idx="853">
                  <c:v>0.57307360508648753</c:v>
                </c:pt>
                <c:pt idx="854">
                  <c:v>0.62725050207222732</c:v>
                </c:pt>
                <c:pt idx="855">
                  <c:v>0.62288929417566274</c:v>
                </c:pt>
                <c:pt idx="856">
                  <c:v>0.41663912399841357</c:v>
                </c:pt>
                <c:pt idx="857">
                  <c:v>0.19431479295514983</c:v>
                </c:pt>
                <c:pt idx="858">
                  <c:v>0.45593456979047009</c:v>
                </c:pt>
                <c:pt idx="859">
                  <c:v>0.32936372830944732</c:v>
                </c:pt>
                <c:pt idx="860">
                  <c:v>0.37000978419197084</c:v>
                </c:pt>
                <c:pt idx="861">
                  <c:v>0.6282795379336531</c:v>
                </c:pt>
                <c:pt idx="862">
                  <c:v>0.60440188515535043</c:v>
                </c:pt>
                <c:pt idx="863">
                  <c:v>0.61484472588240968</c:v>
                </c:pt>
                <c:pt idx="864">
                  <c:v>0.61596747887898773</c:v>
                </c:pt>
                <c:pt idx="865">
                  <c:v>0.34843994725809174</c:v>
                </c:pt>
                <c:pt idx="866">
                  <c:v>0.54496661112040412</c:v>
                </c:pt>
                <c:pt idx="867">
                  <c:v>0.27983110148321361</c:v>
                </c:pt>
                <c:pt idx="868">
                  <c:v>0.80431627751052726</c:v>
                </c:pt>
                <c:pt idx="869">
                  <c:v>0.70765795927379338</c:v>
                </c:pt>
                <c:pt idx="870">
                  <c:v>0.31715181473173004</c:v>
                </c:pt>
                <c:pt idx="871">
                  <c:v>0.2951133251141827</c:v>
                </c:pt>
                <c:pt idx="872">
                  <c:v>0.60079473061344268</c:v>
                </c:pt>
                <c:pt idx="873">
                  <c:v>0.2327812491223111</c:v>
                </c:pt>
                <c:pt idx="874">
                  <c:v>0.46364601675020961</c:v>
                </c:pt>
                <c:pt idx="875">
                  <c:v>0.21626651620746049</c:v>
                </c:pt>
                <c:pt idx="876">
                  <c:v>0.35333764694002467</c:v>
                </c:pt>
                <c:pt idx="877">
                  <c:v>0.46190687476840786</c:v>
                </c:pt>
                <c:pt idx="878">
                  <c:v>0.54115252382500356</c:v>
                </c:pt>
                <c:pt idx="879">
                  <c:v>0.42735662287207388</c:v>
                </c:pt>
                <c:pt idx="880">
                  <c:v>0.6268120254993983</c:v>
                </c:pt>
                <c:pt idx="881">
                  <c:v>0.69643869409575254</c:v>
                </c:pt>
                <c:pt idx="882">
                  <c:v>0.27190462398628462</c:v>
                </c:pt>
                <c:pt idx="883">
                  <c:v>0.28220015895616229</c:v>
                </c:pt>
                <c:pt idx="884">
                  <c:v>0.70332973918868746</c:v>
                </c:pt>
                <c:pt idx="885">
                  <c:v>0.45695254923238671</c:v>
                </c:pt>
                <c:pt idx="886">
                  <c:v>0.60506111827046472</c:v>
                </c:pt>
                <c:pt idx="887">
                  <c:v>0.49440322339996629</c:v>
                </c:pt>
                <c:pt idx="888">
                  <c:v>0.49676452905197466</c:v>
                </c:pt>
                <c:pt idx="889">
                  <c:v>0.27356268762304742</c:v>
                </c:pt>
                <c:pt idx="890">
                  <c:v>0.72969567274115843</c:v>
                </c:pt>
                <c:pt idx="891">
                  <c:v>0.48359941114932103</c:v>
                </c:pt>
                <c:pt idx="892">
                  <c:v>0.49467191128494004</c:v>
                </c:pt>
                <c:pt idx="893">
                  <c:v>0.20862173692989547</c:v>
                </c:pt>
                <c:pt idx="894">
                  <c:v>0.56951485112292455</c:v>
                </c:pt>
                <c:pt idx="895">
                  <c:v>0.81118651067282577</c:v>
                </c:pt>
                <c:pt idx="896">
                  <c:v>0.72025315286023928</c:v>
                </c:pt>
                <c:pt idx="897">
                  <c:v>0.46789471057897453</c:v>
                </c:pt>
                <c:pt idx="898">
                  <c:v>0.58677468059327142</c:v>
                </c:pt>
                <c:pt idx="899">
                  <c:v>0.26851219283027156</c:v>
                </c:pt>
                <c:pt idx="900">
                  <c:v>0.42775884956966448</c:v>
                </c:pt>
                <c:pt idx="901">
                  <c:v>0.6038822398504291</c:v>
                </c:pt>
                <c:pt idx="902">
                  <c:v>0.73121012840935007</c:v>
                </c:pt>
                <c:pt idx="903">
                  <c:v>0.28962868898353406</c:v>
                </c:pt>
                <c:pt idx="904">
                  <c:v>0.31559137433730705</c:v>
                </c:pt>
                <c:pt idx="905">
                  <c:v>0.25390532296288076</c:v>
                </c:pt>
                <c:pt idx="906">
                  <c:v>0.38163041283089971</c:v>
                </c:pt>
                <c:pt idx="907">
                  <c:v>0.40959406886153754</c:v>
                </c:pt>
                <c:pt idx="908">
                  <c:v>0.51976235852491304</c:v>
                </c:pt>
                <c:pt idx="909">
                  <c:v>0.43250015192621688</c:v>
                </c:pt>
                <c:pt idx="910">
                  <c:v>0.45543125718140898</c:v>
                </c:pt>
                <c:pt idx="911">
                  <c:v>0.40059710273743476</c:v>
                </c:pt>
                <c:pt idx="912">
                  <c:v>0.52899113422198596</c:v>
                </c:pt>
                <c:pt idx="913">
                  <c:v>0.64880708302018286</c:v>
                </c:pt>
                <c:pt idx="914">
                  <c:v>0.72604596721969406</c:v>
                </c:pt>
                <c:pt idx="915">
                  <c:v>0.44766884401186563</c:v>
                </c:pt>
                <c:pt idx="916">
                  <c:v>0.49257720511464587</c:v>
                </c:pt>
                <c:pt idx="917">
                  <c:v>0.63850564469736359</c:v>
                </c:pt>
                <c:pt idx="918">
                  <c:v>0.35855126069301396</c:v>
                </c:pt>
                <c:pt idx="919">
                  <c:v>0.54834248357272508</c:v>
                </c:pt>
                <c:pt idx="920">
                  <c:v>0.57733933826591144</c:v>
                </c:pt>
                <c:pt idx="921">
                  <c:v>0.3040543794015011</c:v>
                </c:pt>
                <c:pt idx="922">
                  <c:v>0.70487670034459726</c:v>
                </c:pt>
                <c:pt idx="923">
                  <c:v>0.70640695646368057</c:v>
                </c:pt>
                <c:pt idx="924">
                  <c:v>0.3825542659003186</c:v>
                </c:pt>
                <c:pt idx="925">
                  <c:v>0.31221394306915795</c:v>
                </c:pt>
                <c:pt idx="926">
                  <c:v>0.48714715116245588</c:v>
                </c:pt>
                <c:pt idx="927">
                  <c:v>0.63228341419038381</c:v>
                </c:pt>
                <c:pt idx="928">
                  <c:v>0.33248592633936042</c:v>
                </c:pt>
                <c:pt idx="929">
                  <c:v>0.48181680893085521</c:v>
                </c:pt>
                <c:pt idx="930">
                  <c:v>0.51022718246026078</c:v>
                </c:pt>
                <c:pt idx="931">
                  <c:v>0.52625067106295309</c:v>
                </c:pt>
                <c:pt idx="932">
                  <c:v>0.73257650675462527</c:v>
                </c:pt>
                <c:pt idx="933">
                  <c:v>0.29296231680696161</c:v>
                </c:pt>
                <c:pt idx="934">
                  <c:v>0.2332296599578651</c:v>
                </c:pt>
                <c:pt idx="935">
                  <c:v>0.16592894324978649</c:v>
                </c:pt>
                <c:pt idx="936">
                  <c:v>0.41275920102259139</c:v>
                </c:pt>
                <c:pt idx="937">
                  <c:v>0.49729958369793392</c:v>
                </c:pt>
                <c:pt idx="938">
                  <c:v>0.48429809778018457</c:v>
                </c:pt>
                <c:pt idx="939">
                  <c:v>0.555628077113965</c:v>
                </c:pt>
                <c:pt idx="940">
                  <c:v>0.22844689537798382</c:v>
                </c:pt>
                <c:pt idx="941">
                  <c:v>0.51243755915813682</c:v>
                </c:pt>
                <c:pt idx="942">
                  <c:v>0.48933026456488804</c:v>
                </c:pt>
                <c:pt idx="943">
                  <c:v>0.43445509751627487</c:v>
                </c:pt>
                <c:pt idx="944">
                  <c:v>0.25329641596849478</c:v>
                </c:pt>
                <c:pt idx="945">
                  <c:v>0.46600868293898584</c:v>
                </c:pt>
                <c:pt idx="946">
                  <c:v>0.52543827121426634</c:v>
                </c:pt>
                <c:pt idx="947">
                  <c:v>0.1948588371652179</c:v>
                </c:pt>
                <c:pt idx="948">
                  <c:v>0.46990950399690995</c:v>
                </c:pt>
                <c:pt idx="949">
                  <c:v>0.50760764011534421</c:v>
                </c:pt>
                <c:pt idx="950">
                  <c:v>0.66100411006809434</c:v>
                </c:pt>
                <c:pt idx="951">
                  <c:v>0.51495055818545954</c:v>
                </c:pt>
                <c:pt idx="952">
                  <c:v>0.54055043655942814</c:v>
                </c:pt>
                <c:pt idx="953">
                  <c:v>0.49996914768002604</c:v>
                </c:pt>
                <c:pt idx="954">
                  <c:v>0.37372962457209918</c:v>
                </c:pt>
                <c:pt idx="955">
                  <c:v>0.6844860109417954</c:v>
                </c:pt>
                <c:pt idx="956">
                  <c:v>0.47988765958166824</c:v>
                </c:pt>
                <c:pt idx="957">
                  <c:v>0.57777093382582678</c:v>
                </c:pt>
                <c:pt idx="958">
                  <c:v>0.19888807257860919</c:v>
                </c:pt>
                <c:pt idx="959">
                  <c:v>0.53911135340291838</c:v>
                </c:pt>
                <c:pt idx="960">
                  <c:v>0.39385982409819914</c:v>
                </c:pt>
                <c:pt idx="961">
                  <c:v>0.39321250931212892</c:v>
                </c:pt>
                <c:pt idx="962">
                  <c:v>0.62434551223652601</c:v>
                </c:pt>
                <c:pt idx="963">
                  <c:v>0.23280313935210944</c:v>
                </c:pt>
                <c:pt idx="964">
                  <c:v>0.3772326724813706</c:v>
                </c:pt>
                <c:pt idx="965">
                  <c:v>0.25127526749317586</c:v>
                </c:pt>
                <c:pt idx="966">
                  <c:v>0.38601698833236814</c:v>
                </c:pt>
                <c:pt idx="967">
                  <c:v>0.54692649252645276</c:v>
                </c:pt>
                <c:pt idx="968">
                  <c:v>0.47904746448293611</c:v>
                </c:pt>
                <c:pt idx="969">
                  <c:v>0.52110832647334859</c:v>
                </c:pt>
                <c:pt idx="970">
                  <c:v>0.47399889196811917</c:v>
                </c:pt>
                <c:pt idx="971">
                  <c:v>0.27868072324450588</c:v>
                </c:pt>
                <c:pt idx="972">
                  <c:v>0.4164668473984231</c:v>
                </c:pt>
                <c:pt idx="973">
                  <c:v>0.15718610521816331</c:v>
                </c:pt>
                <c:pt idx="974">
                  <c:v>0.57833877739054229</c:v>
                </c:pt>
                <c:pt idx="975">
                  <c:v>0.56752516643639994</c:v>
                </c:pt>
                <c:pt idx="976">
                  <c:v>0.30315332924782118</c:v>
                </c:pt>
                <c:pt idx="977">
                  <c:v>0.20214929825590841</c:v>
                </c:pt>
                <c:pt idx="978">
                  <c:v>0.41874278192715653</c:v>
                </c:pt>
                <c:pt idx="979">
                  <c:v>0.77831359070734052</c:v>
                </c:pt>
                <c:pt idx="980">
                  <c:v>0.48431301401183113</c:v>
                </c:pt>
                <c:pt idx="981">
                  <c:v>0.37016796934670615</c:v>
                </c:pt>
                <c:pt idx="982">
                  <c:v>0.46786770380251474</c:v>
                </c:pt>
                <c:pt idx="983">
                  <c:v>0.59434633746494814</c:v>
                </c:pt>
                <c:pt idx="984">
                  <c:v>0.42943831018703971</c:v>
                </c:pt>
                <c:pt idx="985">
                  <c:v>0.46123195482989826</c:v>
                </c:pt>
                <c:pt idx="986">
                  <c:v>0.33684247513038534</c:v>
                </c:pt>
                <c:pt idx="987">
                  <c:v>0.58383036944833855</c:v>
                </c:pt>
                <c:pt idx="988">
                  <c:v>0.8254187971483663</c:v>
                </c:pt>
                <c:pt idx="989">
                  <c:v>0.5453314763997833</c:v>
                </c:pt>
                <c:pt idx="990">
                  <c:v>0.46687191766849845</c:v>
                </c:pt>
                <c:pt idx="991">
                  <c:v>0.42191013491245605</c:v>
                </c:pt>
                <c:pt idx="992">
                  <c:v>0.41116809212930799</c:v>
                </c:pt>
                <c:pt idx="993">
                  <c:v>0.46019358478364675</c:v>
                </c:pt>
                <c:pt idx="994">
                  <c:v>0.77447922634681121</c:v>
                </c:pt>
                <c:pt idx="995">
                  <c:v>0.54005724168890312</c:v>
                </c:pt>
                <c:pt idx="996">
                  <c:v>0.30907645347235924</c:v>
                </c:pt>
                <c:pt idx="997">
                  <c:v>0.4984857561284684</c:v>
                </c:pt>
                <c:pt idx="998">
                  <c:v>0.74059820113534403</c:v>
                </c:pt>
                <c:pt idx="999">
                  <c:v>0.53424441248954679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8-40F2-923D-DEE45CCE4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58440"/>
        <c:axId val="382160008"/>
      </c:scatterChart>
      <c:valAx>
        <c:axId val="3821584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8080FF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160008"/>
        <c:crosses val="autoZero"/>
        <c:crossBetween val="midCat"/>
      </c:valAx>
      <c:valAx>
        <c:axId val="3821600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8080FF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158440"/>
        <c:crossesAt val="0"/>
        <c:crossBetween val="midCat"/>
      </c:val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and Reward </a:t>
            </a:r>
          </a:p>
          <a:p>
            <a:pPr>
              <a:defRPr/>
            </a:pPr>
            <a:r>
              <a:rPr lang="en-US" sz="1100"/>
              <a:t>Combinations of Stocks and Bonds, Nov 92-Dec</a:t>
            </a:r>
            <a:r>
              <a:rPr lang="en-US" sz="1100" baseline="0"/>
              <a:t> 11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Solutions!$A$44:$A$1043</c:f>
              <c:numCache>
                <c:formatCode>0.00000</c:formatCode>
                <c:ptCount val="1000"/>
                <c:pt idx="0">
                  <c:v>3.0087580013285469</c:v>
                </c:pt>
                <c:pt idx="1">
                  <c:v>3.508268739570275</c:v>
                </c:pt>
                <c:pt idx="2">
                  <c:v>1.9721127356715378</c:v>
                </c:pt>
                <c:pt idx="3">
                  <c:v>2.2432785519440217</c:v>
                </c:pt>
                <c:pt idx="4">
                  <c:v>2.8412855514794617</c:v>
                </c:pt>
                <c:pt idx="5">
                  <c:v>2.022485535244281</c:v>
                </c:pt>
                <c:pt idx="6">
                  <c:v>2.7817241389484133</c:v>
                </c:pt>
                <c:pt idx="7">
                  <c:v>1.9709491215101624</c:v>
                </c:pt>
                <c:pt idx="8">
                  <c:v>5.0483028099204121</c:v>
                </c:pt>
                <c:pt idx="9">
                  <c:v>3.8117140896414226</c:v>
                </c:pt>
                <c:pt idx="10">
                  <c:v>2.3041828692612079</c:v>
                </c:pt>
                <c:pt idx="11">
                  <c:v>2.0578267977738314</c:v>
                </c:pt>
                <c:pt idx="12">
                  <c:v>3.2178136994037185</c:v>
                </c:pt>
                <c:pt idx="13">
                  <c:v>2.6390308682130028</c:v>
                </c:pt>
                <c:pt idx="14">
                  <c:v>2.6197210465462084</c:v>
                </c:pt>
                <c:pt idx="15">
                  <c:v>2.6897357107827036</c:v>
                </c:pt>
                <c:pt idx="16">
                  <c:v>2.1963092896920893</c:v>
                </c:pt>
                <c:pt idx="17">
                  <c:v>4.2459760086129226</c:v>
                </c:pt>
                <c:pt idx="18">
                  <c:v>2.3355632892336615</c:v>
                </c:pt>
                <c:pt idx="19">
                  <c:v>2.0346520102989425</c:v>
                </c:pt>
                <c:pt idx="20">
                  <c:v>2.0278177760706835</c:v>
                </c:pt>
                <c:pt idx="21">
                  <c:v>5.2719431554937408</c:v>
                </c:pt>
                <c:pt idx="22">
                  <c:v>4.5386823621193244</c:v>
                </c:pt>
                <c:pt idx="23">
                  <c:v>1.992342333309139</c:v>
                </c:pt>
                <c:pt idx="24">
                  <c:v>4.5957537291998687</c:v>
                </c:pt>
                <c:pt idx="25">
                  <c:v>2.4163462940808973</c:v>
                </c:pt>
                <c:pt idx="26">
                  <c:v>1.9251823328304463</c:v>
                </c:pt>
                <c:pt idx="27">
                  <c:v>3.7379225062557966</c:v>
                </c:pt>
                <c:pt idx="28">
                  <c:v>3.3370014844547913</c:v>
                </c:pt>
                <c:pt idx="29">
                  <c:v>1.910419789717092</c:v>
                </c:pt>
                <c:pt idx="30">
                  <c:v>2.6754372508546624</c:v>
                </c:pt>
                <c:pt idx="31">
                  <c:v>3.6111220747224273</c:v>
                </c:pt>
                <c:pt idx="32">
                  <c:v>3.9790129750039229</c:v>
                </c:pt>
                <c:pt idx="33">
                  <c:v>1.9259047423470288</c:v>
                </c:pt>
                <c:pt idx="34">
                  <c:v>1.9403111387868235</c:v>
                </c:pt>
                <c:pt idx="35">
                  <c:v>4.1073151209551337</c:v>
                </c:pt>
                <c:pt idx="36">
                  <c:v>3.5493518591527873</c:v>
                </c:pt>
                <c:pt idx="37">
                  <c:v>1.924191282930322</c:v>
                </c:pt>
                <c:pt idx="38">
                  <c:v>2.6899883214782889</c:v>
                </c:pt>
                <c:pt idx="39">
                  <c:v>4.3214065833143867</c:v>
                </c:pt>
                <c:pt idx="40">
                  <c:v>2.457626563001662</c:v>
                </c:pt>
                <c:pt idx="41">
                  <c:v>2.7851521509777291</c:v>
                </c:pt>
                <c:pt idx="42">
                  <c:v>2.1736606612510445</c:v>
                </c:pt>
                <c:pt idx="43">
                  <c:v>3.5811238025799108</c:v>
                </c:pt>
                <c:pt idx="44">
                  <c:v>3.0327279487972554</c:v>
                </c:pt>
                <c:pt idx="45">
                  <c:v>2.8009997027267888</c:v>
                </c:pt>
                <c:pt idx="46">
                  <c:v>2.5364018865491316</c:v>
                </c:pt>
                <c:pt idx="47">
                  <c:v>4.4083057188050585</c:v>
                </c:pt>
                <c:pt idx="48">
                  <c:v>1.9105331158571019</c:v>
                </c:pt>
                <c:pt idx="49">
                  <c:v>1.9589796952641654</c:v>
                </c:pt>
                <c:pt idx="50">
                  <c:v>2.3801498850101259</c:v>
                </c:pt>
                <c:pt idx="51">
                  <c:v>1.9304246894539465</c:v>
                </c:pt>
                <c:pt idx="52">
                  <c:v>1.9886870813054971</c:v>
                </c:pt>
                <c:pt idx="53">
                  <c:v>4.1080900059657592</c:v>
                </c:pt>
                <c:pt idx="54">
                  <c:v>3.1063425079375824</c:v>
                </c:pt>
                <c:pt idx="55">
                  <c:v>2.9843776975253138</c:v>
                </c:pt>
                <c:pt idx="56">
                  <c:v>1.9814713651123308</c:v>
                </c:pt>
                <c:pt idx="57">
                  <c:v>2.2115520335928385</c:v>
                </c:pt>
                <c:pt idx="58">
                  <c:v>2.3437264766876278</c:v>
                </c:pt>
                <c:pt idx="59">
                  <c:v>2.0601007659746116</c:v>
                </c:pt>
                <c:pt idx="60">
                  <c:v>2.3255534964155746</c:v>
                </c:pt>
                <c:pt idx="61">
                  <c:v>3.8022836186763485</c:v>
                </c:pt>
                <c:pt idx="62">
                  <c:v>2.3039715615536007</c:v>
                </c:pt>
                <c:pt idx="63">
                  <c:v>2.9002819708428871</c:v>
                </c:pt>
                <c:pt idx="64">
                  <c:v>4.8758091717235557</c:v>
                </c:pt>
                <c:pt idx="65">
                  <c:v>1.9134412920122441</c:v>
                </c:pt>
                <c:pt idx="66">
                  <c:v>2.9621071747039909</c:v>
                </c:pt>
                <c:pt idx="67">
                  <c:v>1.9184917005436768</c:v>
                </c:pt>
                <c:pt idx="68">
                  <c:v>3.3489522300062635</c:v>
                </c:pt>
                <c:pt idx="69">
                  <c:v>2.008210666271117</c:v>
                </c:pt>
                <c:pt idx="70">
                  <c:v>2.5327036442615336</c:v>
                </c:pt>
                <c:pt idx="71">
                  <c:v>3.7046852766854048</c:v>
                </c:pt>
                <c:pt idx="72">
                  <c:v>4.1044789647489779</c:v>
                </c:pt>
                <c:pt idx="73">
                  <c:v>4.1091762305020563</c:v>
                </c:pt>
                <c:pt idx="74">
                  <c:v>4.8441190866284982</c:v>
                </c:pt>
                <c:pt idx="75">
                  <c:v>3.2589782863471277</c:v>
                </c:pt>
                <c:pt idx="76">
                  <c:v>2.8550726372754185</c:v>
                </c:pt>
                <c:pt idx="77">
                  <c:v>1.9851612658467261</c:v>
                </c:pt>
                <c:pt idx="78">
                  <c:v>3.9093452826961026</c:v>
                </c:pt>
                <c:pt idx="79">
                  <c:v>2.0469592742663134</c:v>
                </c:pt>
                <c:pt idx="80">
                  <c:v>3.8323414044123436</c:v>
                </c:pt>
                <c:pt idx="81">
                  <c:v>2.0696073256975782</c:v>
                </c:pt>
                <c:pt idx="82">
                  <c:v>2.3831919186384303</c:v>
                </c:pt>
                <c:pt idx="83">
                  <c:v>2.0522678233760314</c:v>
                </c:pt>
                <c:pt idx="84">
                  <c:v>1.9116189360239568</c:v>
                </c:pt>
                <c:pt idx="85">
                  <c:v>2.4231112437771194</c:v>
                </c:pt>
                <c:pt idx="86">
                  <c:v>3.8898707166794395</c:v>
                </c:pt>
                <c:pt idx="87">
                  <c:v>4.647128772847374</c:v>
                </c:pt>
                <c:pt idx="88">
                  <c:v>3.1984777680909993</c:v>
                </c:pt>
                <c:pt idx="89">
                  <c:v>4.7792601626074518</c:v>
                </c:pt>
                <c:pt idx="90">
                  <c:v>3.1519368372574283</c:v>
                </c:pt>
                <c:pt idx="91">
                  <c:v>3.6850579720940937</c:v>
                </c:pt>
                <c:pt idx="92">
                  <c:v>3.6125482027884512</c:v>
                </c:pt>
                <c:pt idx="93">
                  <c:v>4.7246480980847476</c:v>
                </c:pt>
                <c:pt idx="94">
                  <c:v>2.0714318976756894</c:v>
                </c:pt>
                <c:pt idx="95">
                  <c:v>2.1912994355545385</c:v>
                </c:pt>
                <c:pt idx="96">
                  <c:v>3.0102835379098578</c:v>
                </c:pt>
                <c:pt idx="97">
                  <c:v>2.7108634916396182</c:v>
                </c:pt>
                <c:pt idx="98">
                  <c:v>2.6048921502752571</c:v>
                </c:pt>
                <c:pt idx="99">
                  <c:v>3.938106565084734</c:v>
                </c:pt>
                <c:pt idx="100">
                  <c:v>2.8917929865161942</c:v>
                </c:pt>
                <c:pt idx="101">
                  <c:v>4.2151846115561593</c:v>
                </c:pt>
                <c:pt idx="102">
                  <c:v>2.4217127974567503</c:v>
                </c:pt>
                <c:pt idx="103">
                  <c:v>3.1658501529326895</c:v>
                </c:pt>
                <c:pt idx="104">
                  <c:v>2.4964834991433205</c:v>
                </c:pt>
                <c:pt idx="105">
                  <c:v>1.9552612351670673</c:v>
                </c:pt>
                <c:pt idx="106">
                  <c:v>2.3482731594042385</c:v>
                </c:pt>
                <c:pt idx="107">
                  <c:v>3.7153718105358893</c:v>
                </c:pt>
                <c:pt idx="108">
                  <c:v>2.7190180656356278</c:v>
                </c:pt>
                <c:pt idx="109">
                  <c:v>1.9136660493993236</c:v>
                </c:pt>
                <c:pt idx="110">
                  <c:v>1.9658783835129774</c:v>
                </c:pt>
                <c:pt idx="111">
                  <c:v>1.9938493647679094</c:v>
                </c:pt>
                <c:pt idx="112">
                  <c:v>3.7679470218216875</c:v>
                </c:pt>
                <c:pt idx="113">
                  <c:v>2.5860271972075437</c:v>
                </c:pt>
                <c:pt idx="114">
                  <c:v>2.4295284731168323</c:v>
                </c:pt>
                <c:pt idx="115">
                  <c:v>1.92436691430491</c:v>
                </c:pt>
                <c:pt idx="116">
                  <c:v>1.9189532786232015</c:v>
                </c:pt>
                <c:pt idx="117">
                  <c:v>2.7595299654500449</c:v>
                </c:pt>
                <c:pt idx="118">
                  <c:v>3.5590541811616379</c:v>
                </c:pt>
                <c:pt idx="119">
                  <c:v>4.2141430014654286</c:v>
                </c:pt>
                <c:pt idx="120">
                  <c:v>2.2795054542357298</c:v>
                </c:pt>
                <c:pt idx="121">
                  <c:v>2.107673715976957</c:v>
                </c:pt>
                <c:pt idx="122">
                  <c:v>2.6263487627298874</c:v>
                </c:pt>
                <c:pt idx="123">
                  <c:v>2.0410712498890211</c:v>
                </c:pt>
                <c:pt idx="124">
                  <c:v>2.6738804470007689</c:v>
                </c:pt>
                <c:pt idx="125">
                  <c:v>2.0193302989412114</c:v>
                </c:pt>
                <c:pt idx="126">
                  <c:v>4.782212843659555</c:v>
                </c:pt>
                <c:pt idx="127">
                  <c:v>2.5563650059598344</c:v>
                </c:pt>
                <c:pt idx="128">
                  <c:v>2.1886231711125705</c:v>
                </c:pt>
                <c:pt idx="129">
                  <c:v>3.1282895091869047</c:v>
                </c:pt>
                <c:pt idx="130">
                  <c:v>2.9197125227129863</c:v>
                </c:pt>
                <c:pt idx="131">
                  <c:v>3.2889565202745361</c:v>
                </c:pt>
                <c:pt idx="132">
                  <c:v>3.8290086956117615</c:v>
                </c:pt>
                <c:pt idx="133">
                  <c:v>2.4756718988825823</c:v>
                </c:pt>
                <c:pt idx="134">
                  <c:v>4.7365431460997511</c:v>
                </c:pt>
                <c:pt idx="135">
                  <c:v>3.4191693254555271</c:v>
                </c:pt>
                <c:pt idx="136">
                  <c:v>2.1547421237804576</c:v>
                </c:pt>
                <c:pt idx="137">
                  <c:v>1.9377515348065406</c:v>
                </c:pt>
                <c:pt idx="138">
                  <c:v>3.3613139771273466</c:v>
                </c:pt>
                <c:pt idx="139">
                  <c:v>2.0901880876030683</c:v>
                </c:pt>
                <c:pt idx="140">
                  <c:v>2.1685099475667062</c:v>
                </c:pt>
                <c:pt idx="141">
                  <c:v>3.0826271446935181</c:v>
                </c:pt>
                <c:pt idx="142">
                  <c:v>4.1517113539145383</c:v>
                </c:pt>
                <c:pt idx="143">
                  <c:v>2.122133069409903</c:v>
                </c:pt>
                <c:pt idx="144">
                  <c:v>2.2156511789234394</c:v>
                </c:pt>
                <c:pt idx="145">
                  <c:v>3.1528051245168762</c:v>
                </c:pt>
                <c:pt idx="146">
                  <c:v>4.9045807471742666</c:v>
                </c:pt>
                <c:pt idx="147">
                  <c:v>2.7690992507876149</c:v>
                </c:pt>
                <c:pt idx="148">
                  <c:v>4.0273598165604918</c:v>
                </c:pt>
                <c:pt idx="149">
                  <c:v>2.3064285974558207</c:v>
                </c:pt>
                <c:pt idx="150">
                  <c:v>5.0506998341049663</c:v>
                </c:pt>
                <c:pt idx="151">
                  <c:v>2.3042586131674647</c:v>
                </c:pt>
                <c:pt idx="152">
                  <c:v>3.7474801065244057</c:v>
                </c:pt>
                <c:pt idx="153">
                  <c:v>2.9019171476738697</c:v>
                </c:pt>
                <c:pt idx="154">
                  <c:v>2.3807828111331739</c:v>
                </c:pt>
                <c:pt idx="155">
                  <c:v>3.5660030017010609</c:v>
                </c:pt>
                <c:pt idx="156">
                  <c:v>1.9922884067750739</c:v>
                </c:pt>
                <c:pt idx="157">
                  <c:v>2.8375636781160232</c:v>
                </c:pt>
                <c:pt idx="158">
                  <c:v>5.1756230565368044</c:v>
                </c:pt>
                <c:pt idx="159">
                  <c:v>2.7065155162965153</c:v>
                </c:pt>
                <c:pt idx="160">
                  <c:v>2.9461050111597902</c:v>
                </c:pt>
                <c:pt idx="161">
                  <c:v>1.9677882972875358</c:v>
                </c:pt>
                <c:pt idx="162">
                  <c:v>2.3953991922543181</c:v>
                </c:pt>
                <c:pt idx="163">
                  <c:v>3.8298232773703771</c:v>
                </c:pt>
                <c:pt idx="164">
                  <c:v>3.7210818677570785</c:v>
                </c:pt>
                <c:pt idx="165">
                  <c:v>1.9982715263481534</c:v>
                </c:pt>
                <c:pt idx="166">
                  <c:v>2.0674288066854465</c:v>
                </c:pt>
                <c:pt idx="167">
                  <c:v>1.9111281802557505</c:v>
                </c:pt>
                <c:pt idx="168">
                  <c:v>3.2620338366219599</c:v>
                </c:pt>
                <c:pt idx="169">
                  <c:v>2.0302389757418928</c:v>
                </c:pt>
                <c:pt idx="170">
                  <c:v>2.2352427069598888</c:v>
                </c:pt>
                <c:pt idx="171">
                  <c:v>3.2130747987263319</c:v>
                </c:pt>
                <c:pt idx="172">
                  <c:v>4.074666808836394</c:v>
                </c:pt>
                <c:pt idx="173">
                  <c:v>3.1218379209940426</c:v>
                </c:pt>
                <c:pt idx="174">
                  <c:v>5.3639386671236844</c:v>
                </c:pt>
                <c:pt idx="175">
                  <c:v>2.5478966084328771</c:v>
                </c:pt>
                <c:pt idx="176">
                  <c:v>1.9775521279010484</c:v>
                </c:pt>
                <c:pt idx="177">
                  <c:v>2.0797846156823288</c:v>
                </c:pt>
                <c:pt idx="178">
                  <c:v>3.3090869207823199</c:v>
                </c:pt>
                <c:pt idx="179">
                  <c:v>1.9304324111841262</c:v>
                </c:pt>
                <c:pt idx="180">
                  <c:v>2.0564714896601455</c:v>
                </c:pt>
                <c:pt idx="181">
                  <c:v>1.9731100091067724</c:v>
                </c:pt>
                <c:pt idx="182">
                  <c:v>1.9103727285817591</c:v>
                </c:pt>
                <c:pt idx="183">
                  <c:v>4.2270365295933843</c:v>
                </c:pt>
                <c:pt idx="184">
                  <c:v>4.7686590406634828</c:v>
                </c:pt>
                <c:pt idx="185">
                  <c:v>3.2046242179249012</c:v>
                </c:pt>
                <c:pt idx="186">
                  <c:v>2.27827400722482</c:v>
                </c:pt>
                <c:pt idx="187">
                  <c:v>3.6922897984471041</c:v>
                </c:pt>
                <c:pt idx="188">
                  <c:v>4.9337577098404273</c:v>
                </c:pt>
                <c:pt idx="189">
                  <c:v>2.1718276395838201</c:v>
                </c:pt>
                <c:pt idx="190">
                  <c:v>2.2600417021266161</c:v>
                </c:pt>
                <c:pt idx="191">
                  <c:v>2.3917595388880213</c:v>
                </c:pt>
                <c:pt idx="192">
                  <c:v>2.043261701427006</c:v>
                </c:pt>
                <c:pt idx="193">
                  <c:v>3.8348781363245532</c:v>
                </c:pt>
                <c:pt idx="194">
                  <c:v>4.7557041721740267</c:v>
                </c:pt>
                <c:pt idx="195">
                  <c:v>2.3546672584765789</c:v>
                </c:pt>
                <c:pt idx="196">
                  <c:v>1.910932909450541</c:v>
                </c:pt>
                <c:pt idx="197">
                  <c:v>3.457651546025879</c:v>
                </c:pt>
                <c:pt idx="198">
                  <c:v>2.2481688879539776</c:v>
                </c:pt>
                <c:pt idx="199">
                  <c:v>3.6097531089020936</c:v>
                </c:pt>
                <c:pt idx="200">
                  <c:v>2.1988134748525301</c:v>
                </c:pt>
                <c:pt idx="201">
                  <c:v>3.8520560576484129</c:v>
                </c:pt>
                <c:pt idx="202">
                  <c:v>4.5961094462508321</c:v>
                </c:pt>
                <c:pt idx="203">
                  <c:v>1.9170195827197345</c:v>
                </c:pt>
                <c:pt idx="204">
                  <c:v>3.8714282025020474</c:v>
                </c:pt>
                <c:pt idx="205">
                  <c:v>3.566658546870916</c:v>
                </c:pt>
                <c:pt idx="206">
                  <c:v>2.2728635580207928</c:v>
                </c:pt>
                <c:pt idx="207">
                  <c:v>1.9672213212423206</c:v>
                </c:pt>
                <c:pt idx="208">
                  <c:v>2.7744403909171544</c:v>
                </c:pt>
                <c:pt idx="209">
                  <c:v>3.258846184219482</c:v>
                </c:pt>
                <c:pt idx="210">
                  <c:v>2.106365825720419</c:v>
                </c:pt>
                <c:pt idx="211">
                  <c:v>3.5110555396704726</c:v>
                </c:pt>
                <c:pt idx="212">
                  <c:v>2.8150558228848244</c:v>
                </c:pt>
                <c:pt idx="213">
                  <c:v>2.4446160246651401</c:v>
                </c:pt>
                <c:pt idx="214">
                  <c:v>2.1537830941404841</c:v>
                </c:pt>
                <c:pt idx="215">
                  <c:v>2.1951724170728131</c:v>
                </c:pt>
                <c:pt idx="216">
                  <c:v>2.6717318983691287</c:v>
                </c:pt>
                <c:pt idx="217">
                  <c:v>2.3710917891150021</c:v>
                </c:pt>
                <c:pt idx="218">
                  <c:v>2.3126934055927846</c:v>
                </c:pt>
                <c:pt idx="219">
                  <c:v>3.8772258985453099</c:v>
                </c:pt>
                <c:pt idx="220">
                  <c:v>2.1619233139348024</c:v>
                </c:pt>
                <c:pt idx="221">
                  <c:v>3.2885356486269917</c:v>
                </c:pt>
                <c:pt idx="222">
                  <c:v>2.9329354849870191</c:v>
                </c:pt>
                <c:pt idx="223">
                  <c:v>4.9327601698083026</c:v>
                </c:pt>
                <c:pt idx="224">
                  <c:v>3.8298476618825497</c:v>
                </c:pt>
                <c:pt idx="225">
                  <c:v>2.7177794347286359</c:v>
                </c:pt>
                <c:pt idx="226">
                  <c:v>2.8750114855822977</c:v>
                </c:pt>
                <c:pt idx="227">
                  <c:v>2.0904027535676799</c:v>
                </c:pt>
                <c:pt idx="228">
                  <c:v>4.2022542372756861</c:v>
                </c:pt>
                <c:pt idx="229">
                  <c:v>1.910439434905328</c:v>
                </c:pt>
                <c:pt idx="230">
                  <c:v>2.1506856478609833</c:v>
                </c:pt>
                <c:pt idx="231">
                  <c:v>4.6003581258848376</c:v>
                </c:pt>
                <c:pt idx="232">
                  <c:v>1.9625485971323979</c:v>
                </c:pt>
                <c:pt idx="233">
                  <c:v>2.3408493500000009</c:v>
                </c:pt>
                <c:pt idx="234">
                  <c:v>2.7397983331289759</c:v>
                </c:pt>
                <c:pt idx="235">
                  <c:v>3.8121117056438103</c:v>
                </c:pt>
                <c:pt idx="236">
                  <c:v>2.6114034807850746</c:v>
                </c:pt>
                <c:pt idx="237">
                  <c:v>3.5390649437704336</c:v>
                </c:pt>
                <c:pt idx="238">
                  <c:v>2.7907924827552346</c:v>
                </c:pt>
                <c:pt idx="239">
                  <c:v>2.0056446673806985</c:v>
                </c:pt>
                <c:pt idx="240">
                  <c:v>2.9419359834257683</c:v>
                </c:pt>
                <c:pt idx="241">
                  <c:v>1.9668748376840641</c:v>
                </c:pt>
                <c:pt idx="242">
                  <c:v>3.2691068329173842</c:v>
                </c:pt>
                <c:pt idx="243">
                  <c:v>4.0265917136788243</c:v>
                </c:pt>
                <c:pt idx="244">
                  <c:v>2.3862241694158937</c:v>
                </c:pt>
                <c:pt idx="245">
                  <c:v>2.4042956433314937</c:v>
                </c:pt>
                <c:pt idx="246">
                  <c:v>2.1555745935533119</c:v>
                </c:pt>
                <c:pt idx="247">
                  <c:v>2.9811566776049316</c:v>
                </c:pt>
                <c:pt idx="248">
                  <c:v>2.6365756814814199</c:v>
                </c:pt>
                <c:pt idx="249">
                  <c:v>2.1124008232235068</c:v>
                </c:pt>
                <c:pt idx="250">
                  <c:v>2.5980531974266254</c:v>
                </c:pt>
                <c:pt idx="251">
                  <c:v>1.9439047173018211</c:v>
                </c:pt>
                <c:pt idx="252">
                  <c:v>4.5274737723450036</c:v>
                </c:pt>
                <c:pt idx="253">
                  <c:v>2.2562302742241274</c:v>
                </c:pt>
                <c:pt idx="254">
                  <c:v>2.9188684376345191</c:v>
                </c:pt>
                <c:pt idx="255">
                  <c:v>2.6374231096937364</c:v>
                </c:pt>
                <c:pt idx="256">
                  <c:v>2.8032130262911243</c:v>
                </c:pt>
                <c:pt idx="257">
                  <c:v>4.6632879098732287</c:v>
                </c:pt>
                <c:pt idx="258">
                  <c:v>2.2618986069564255</c:v>
                </c:pt>
                <c:pt idx="259">
                  <c:v>2.0006331009436873</c:v>
                </c:pt>
                <c:pt idx="260">
                  <c:v>2.4061858481083891</c:v>
                </c:pt>
                <c:pt idx="261">
                  <c:v>2.3427277529614616</c:v>
                </c:pt>
                <c:pt idx="262">
                  <c:v>2.0288341983124054</c:v>
                </c:pt>
                <c:pt idx="263">
                  <c:v>1.9309060565486023</c:v>
                </c:pt>
                <c:pt idx="264">
                  <c:v>2.8576306229715094</c:v>
                </c:pt>
                <c:pt idx="265">
                  <c:v>3.3879894611756165</c:v>
                </c:pt>
                <c:pt idx="266">
                  <c:v>2.8735967907015953</c:v>
                </c:pt>
                <c:pt idx="267">
                  <c:v>3.0192638456185197</c:v>
                </c:pt>
                <c:pt idx="268">
                  <c:v>4.3450345217080439</c:v>
                </c:pt>
                <c:pt idx="269">
                  <c:v>1.9108187119958557</c:v>
                </c:pt>
                <c:pt idx="270">
                  <c:v>2.444897714370343</c:v>
                </c:pt>
                <c:pt idx="271">
                  <c:v>2.0863209610688092</c:v>
                </c:pt>
                <c:pt idx="272">
                  <c:v>5.1528564880807934</c:v>
                </c:pt>
                <c:pt idx="273">
                  <c:v>3.2711478826146942</c:v>
                </c:pt>
                <c:pt idx="274">
                  <c:v>1.938745650211505</c:v>
                </c:pt>
                <c:pt idx="275">
                  <c:v>2.6393430703146241</c:v>
                </c:pt>
                <c:pt idx="276">
                  <c:v>5.2770779808817663</c:v>
                </c:pt>
                <c:pt idx="277">
                  <c:v>2.306591509753384</c:v>
                </c:pt>
                <c:pt idx="278">
                  <c:v>2.2713884740540595</c:v>
                </c:pt>
                <c:pt idx="279">
                  <c:v>1.9104444663505842</c:v>
                </c:pt>
                <c:pt idx="280">
                  <c:v>2.3501781562043331</c:v>
                </c:pt>
                <c:pt idx="281">
                  <c:v>2.3709118202490331</c:v>
                </c:pt>
                <c:pt idx="282">
                  <c:v>3.3766875819319337</c:v>
                </c:pt>
                <c:pt idx="283">
                  <c:v>2.4583765620622171</c:v>
                </c:pt>
                <c:pt idx="284">
                  <c:v>3.2591461201374647</c:v>
                </c:pt>
                <c:pt idx="285">
                  <c:v>4.3168940192475533</c:v>
                </c:pt>
                <c:pt idx="286">
                  <c:v>2.3407231198670546</c:v>
                </c:pt>
                <c:pt idx="287">
                  <c:v>3.0020935348807694</c:v>
                </c:pt>
                <c:pt idx="288">
                  <c:v>2.4567098764391702</c:v>
                </c:pt>
                <c:pt idx="289">
                  <c:v>2.1072810425776236</c:v>
                </c:pt>
                <c:pt idx="290">
                  <c:v>2.7266486221254032</c:v>
                </c:pt>
                <c:pt idx="291">
                  <c:v>4.1954039817901165</c:v>
                </c:pt>
                <c:pt idx="292">
                  <c:v>4.9181915878777955</c:v>
                </c:pt>
                <c:pt idx="293">
                  <c:v>1.9105123653699307</c:v>
                </c:pt>
                <c:pt idx="294">
                  <c:v>4.1793513584997601</c:v>
                </c:pt>
                <c:pt idx="295">
                  <c:v>2.420451326384542</c:v>
                </c:pt>
                <c:pt idx="296">
                  <c:v>4.142584864585892</c:v>
                </c:pt>
                <c:pt idx="297">
                  <c:v>1.9484706572248276</c:v>
                </c:pt>
                <c:pt idx="298">
                  <c:v>2.5210259165580715</c:v>
                </c:pt>
                <c:pt idx="299">
                  <c:v>3.7465792922928443</c:v>
                </c:pt>
                <c:pt idx="300">
                  <c:v>2.8397111124257655</c:v>
                </c:pt>
                <c:pt idx="301">
                  <c:v>4.2484105119322413</c:v>
                </c:pt>
                <c:pt idx="302">
                  <c:v>2.2533411550876998</c:v>
                </c:pt>
                <c:pt idx="303">
                  <c:v>3.34113991240643</c:v>
                </c:pt>
                <c:pt idx="304">
                  <c:v>2.5904136277377181</c:v>
                </c:pt>
                <c:pt idx="305">
                  <c:v>3.6636853974124963</c:v>
                </c:pt>
                <c:pt idx="306">
                  <c:v>2.3941091553970479</c:v>
                </c:pt>
                <c:pt idx="307">
                  <c:v>3.1676357831089188</c:v>
                </c:pt>
                <c:pt idx="308">
                  <c:v>1.9625266882055821</c:v>
                </c:pt>
                <c:pt idx="309">
                  <c:v>2.9551676134355147</c:v>
                </c:pt>
                <c:pt idx="310">
                  <c:v>2.4300420947358625</c:v>
                </c:pt>
                <c:pt idx="311">
                  <c:v>2.4622677516057987</c:v>
                </c:pt>
                <c:pt idx="312">
                  <c:v>2.1279354841588956</c:v>
                </c:pt>
                <c:pt idx="313">
                  <c:v>3.8259343640121277</c:v>
                </c:pt>
                <c:pt idx="314">
                  <c:v>1.9120674230330232</c:v>
                </c:pt>
                <c:pt idx="315">
                  <c:v>3.5949228341382784</c:v>
                </c:pt>
                <c:pt idx="316">
                  <c:v>2.1402005378135294</c:v>
                </c:pt>
                <c:pt idx="317">
                  <c:v>2.2074215117757876</c:v>
                </c:pt>
                <c:pt idx="318">
                  <c:v>3.9332889418024881</c:v>
                </c:pt>
                <c:pt idx="319">
                  <c:v>4.0237704761470861</c:v>
                </c:pt>
                <c:pt idx="320">
                  <c:v>4.103543287805282</c:v>
                </c:pt>
                <c:pt idx="321">
                  <c:v>3.5167619974804016</c:v>
                </c:pt>
                <c:pt idx="322">
                  <c:v>3.8380911412702496</c:v>
                </c:pt>
                <c:pt idx="323">
                  <c:v>4.3572091890947497</c:v>
                </c:pt>
                <c:pt idx="324">
                  <c:v>4.2703041192158171</c:v>
                </c:pt>
                <c:pt idx="325">
                  <c:v>2.7798708723140853</c:v>
                </c:pt>
                <c:pt idx="326">
                  <c:v>5.121456507986788</c:v>
                </c:pt>
                <c:pt idx="327">
                  <c:v>3.6930640353388928</c:v>
                </c:pt>
                <c:pt idx="328">
                  <c:v>2.0081040296641066</c:v>
                </c:pt>
                <c:pt idx="329">
                  <c:v>2.2626471964037496</c:v>
                </c:pt>
                <c:pt idx="330">
                  <c:v>3.1560277034393849</c:v>
                </c:pt>
                <c:pt idx="331">
                  <c:v>4.0249692350256616</c:v>
                </c:pt>
                <c:pt idx="332">
                  <c:v>3.9005368423300943</c:v>
                </c:pt>
                <c:pt idx="333">
                  <c:v>2.6887322614033908</c:v>
                </c:pt>
                <c:pt idx="334">
                  <c:v>2.7622264899637869</c:v>
                </c:pt>
                <c:pt idx="335">
                  <c:v>2.5723026857801292</c:v>
                </c:pt>
                <c:pt idx="336">
                  <c:v>2.0477177967031772</c:v>
                </c:pt>
                <c:pt idx="337">
                  <c:v>2.569052225361466</c:v>
                </c:pt>
                <c:pt idx="338">
                  <c:v>2.2954313500635184</c:v>
                </c:pt>
                <c:pt idx="339">
                  <c:v>1.9501395131894217</c:v>
                </c:pt>
                <c:pt idx="340">
                  <c:v>2.5563111038991257</c:v>
                </c:pt>
                <c:pt idx="341">
                  <c:v>5.0257596239454836</c:v>
                </c:pt>
                <c:pt idx="342">
                  <c:v>3.8667180261234906</c:v>
                </c:pt>
                <c:pt idx="343">
                  <c:v>4.3005086618317367</c:v>
                </c:pt>
                <c:pt idx="344">
                  <c:v>2.1123648285684036</c:v>
                </c:pt>
                <c:pt idx="345">
                  <c:v>1.9597755627516593</c:v>
                </c:pt>
                <c:pt idx="346">
                  <c:v>3.2377037288586052</c:v>
                </c:pt>
                <c:pt idx="347">
                  <c:v>2.9434160768668165</c:v>
                </c:pt>
                <c:pt idx="348">
                  <c:v>4.0556236508387586</c:v>
                </c:pt>
                <c:pt idx="349">
                  <c:v>2.152060359930295</c:v>
                </c:pt>
                <c:pt idx="350">
                  <c:v>2.0502684370250268</c:v>
                </c:pt>
                <c:pt idx="351">
                  <c:v>2.6585598238678374</c:v>
                </c:pt>
                <c:pt idx="352">
                  <c:v>4.2247941677089225</c:v>
                </c:pt>
                <c:pt idx="353">
                  <c:v>2.127068487493299</c:v>
                </c:pt>
                <c:pt idx="354">
                  <c:v>3.5182707613991151</c:v>
                </c:pt>
                <c:pt idx="355">
                  <c:v>3.0115128864634348</c:v>
                </c:pt>
                <c:pt idx="356">
                  <c:v>1.9215905367288173</c:v>
                </c:pt>
                <c:pt idx="357">
                  <c:v>2.6952285716564979</c:v>
                </c:pt>
                <c:pt idx="358">
                  <c:v>4.6824535903802014</c:v>
                </c:pt>
                <c:pt idx="359">
                  <c:v>3.8717142314707522</c:v>
                </c:pt>
                <c:pt idx="360">
                  <c:v>1.9200482344423146</c:v>
                </c:pt>
                <c:pt idx="361">
                  <c:v>3.9396928079834046</c:v>
                </c:pt>
                <c:pt idx="362">
                  <c:v>3.3696038298063815</c:v>
                </c:pt>
                <c:pt idx="363">
                  <c:v>2.8239155446262751</c:v>
                </c:pt>
                <c:pt idx="364">
                  <c:v>2.6954254491211125</c:v>
                </c:pt>
                <c:pt idx="365">
                  <c:v>2.3055368937978402</c:v>
                </c:pt>
                <c:pt idx="366">
                  <c:v>1.9443497898233606</c:v>
                </c:pt>
                <c:pt idx="367">
                  <c:v>2.6587647628244273</c:v>
                </c:pt>
                <c:pt idx="368">
                  <c:v>3.3567402876993246</c:v>
                </c:pt>
                <c:pt idx="369">
                  <c:v>2.226859500693664</c:v>
                </c:pt>
                <c:pt idx="370">
                  <c:v>2.3025210230869204</c:v>
                </c:pt>
                <c:pt idx="371">
                  <c:v>1.9393106523462815</c:v>
                </c:pt>
                <c:pt idx="372">
                  <c:v>3.3165696614075264</c:v>
                </c:pt>
                <c:pt idx="373">
                  <c:v>5.3652041068539624</c:v>
                </c:pt>
                <c:pt idx="374">
                  <c:v>3.1933621767299929</c:v>
                </c:pt>
                <c:pt idx="375">
                  <c:v>2.2708111789175636</c:v>
                </c:pt>
                <c:pt idx="376">
                  <c:v>2.9841630288720791</c:v>
                </c:pt>
                <c:pt idx="377">
                  <c:v>4.651796234723145</c:v>
                </c:pt>
                <c:pt idx="378">
                  <c:v>2.6133541492665349</c:v>
                </c:pt>
                <c:pt idx="379">
                  <c:v>2.5438729411752741</c:v>
                </c:pt>
                <c:pt idx="380">
                  <c:v>4.8006180661353506</c:v>
                </c:pt>
                <c:pt idx="381">
                  <c:v>2.0583804806179447</c:v>
                </c:pt>
                <c:pt idx="382">
                  <c:v>1.9766446058533396</c:v>
                </c:pt>
                <c:pt idx="383">
                  <c:v>2.0534785629772263</c:v>
                </c:pt>
                <c:pt idx="384">
                  <c:v>2.1011886720872952</c:v>
                </c:pt>
                <c:pt idx="385">
                  <c:v>1.9180446489124765</c:v>
                </c:pt>
                <c:pt idx="386">
                  <c:v>4.2714175906543295</c:v>
                </c:pt>
                <c:pt idx="387">
                  <c:v>2.7015718927072525</c:v>
                </c:pt>
                <c:pt idx="388">
                  <c:v>3.2888051196649553</c:v>
                </c:pt>
                <c:pt idx="389">
                  <c:v>3.0990179034131558</c:v>
                </c:pt>
                <c:pt idx="390">
                  <c:v>1.9109701048317289</c:v>
                </c:pt>
                <c:pt idx="391">
                  <c:v>2.3457162489632148</c:v>
                </c:pt>
                <c:pt idx="392">
                  <c:v>4.6648256090560549</c:v>
                </c:pt>
                <c:pt idx="393">
                  <c:v>4.8326673250918084</c:v>
                </c:pt>
                <c:pt idx="394">
                  <c:v>2.4857190015908621</c:v>
                </c:pt>
                <c:pt idx="395">
                  <c:v>1.9211404929648359</c:v>
                </c:pt>
                <c:pt idx="396">
                  <c:v>2.2388703338127449</c:v>
                </c:pt>
                <c:pt idx="397">
                  <c:v>2.8440786708653749</c:v>
                </c:pt>
                <c:pt idx="398">
                  <c:v>2.1754294180622678</c:v>
                </c:pt>
                <c:pt idx="399">
                  <c:v>1.9264497897301276</c:v>
                </c:pt>
                <c:pt idx="400">
                  <c:v>2.4453705164098261</c:v>
                </c:pt>
                <c:pt idx="401">
                  <c:v>2.5785472984376474</c:v>
                </c:pt>
                <c:pt idx="402">
                  <c:v>1.9785231850186074</c:v>
                </c:pt>
                <c:pt idx="403">
                  <c:v>3.8160348188969131</c:v>
                </c:pt>
                <c:pt idx="404">
                  <c:v>2.6798142337489916</c:v>
                </c:pt>
                <c:pt idx="405">
                  <c:v>2.7524035297783707</c:v>
                </c:pt>
                <c:pt idx="406">
                  <c:v>1.9214777679848982</c:v>
                </c:pt>
                <c:pt idx="407">
                  <c:v>3.4391609031967629</c:v>
                </c:pt>
                <c:pt idx="408">
                  <c:v>2.9656121154228008</c:v>
                </c:pt>
                <c:pt idx="409">
                  <c:v>4.1813937448552272</c:v>
                </c:pt>
                <c:pt idx="410">
                  <c:v>4.5002570768198549</c:v>
                </c:pt>
                <c:pt idx="411">
                  <c:v>2.5267009902339193</c:v>
                </c:pt>
                <c:pt idx="412">
                  <c:v>1.9470602793460507</c:v>
                </c:pt>
                <c:pt idx="413">
                  <c:v>2.6219126404476922</c:v>
                </c:pt>
                <c:pt idx="414">
                  <c:v>4.4656656321959156</c:v>
                </c:pt>
                <c:pt idx="415">
                  <c:v>2.5321430967067529</c:v>
                </c:pt>
                <c:pt idx="416">
                  <c:v>1.971791632546166</c:v>
                </c:pt>
                <c:pt idx="417">
                  <c:v>2.4599807342984481</c:v>
                </c:pt>
                <c:pt idx="418">
                  <c:v>1.9252915153017902</c:v>
                </c:pt>
                <c:pt idx="419">
                  <c:v>3.6179583916900917</c:v>
                </c:pt>
                <c:pt idx="420">
                  <c:v>2.551346505862143</c:v>
                </c:pt>
                <c:pt idx="421">
                  <c:v>1.9801528874972165</c:v>
                </c:pt>
                <c:pt idx="422">
                  <c:v>2.0407717258437765</c:v>
                </c:pt>
                <c:pt idx="423">
                  <c:v>3.2186381377159843</c:v>
                </c:pt>
                <c:pt idx="424">
                  <c:v>3.1384609232289247</c:v>
                </c:pt>
                <c:pt idx="425">
                  <c:v>2.9821210701310688</c:v>
                </c:pt>
                <c:pt idx="426">
                  <c:v>4.2081820466960664</c:v>
                </c:pt>
                <c:pt idx="427">
                  <c:v>3.3530488463777393</c:v>
                </c:pt>
                <c:pt idx="428">
                  <c:v>2.2236989812401107</c:v>
                </c:pt>
                <c:pt idx="429">
                  <c:v>2.3383990972424913</c:v>
                </c:pt>
                <c:pt idx="430">
                  <c:v>4.6398899225767192</c:v>
                </c:pt>
                <c:pt idx="431">
                  <c:v>2.3867389627500484</c:v>
                </c:pt>
                <c:pt idx="432">
                  <c:v>1.9299258794523177</c:v>
                </c:pt>
                <c:pt idx="433">
                  <c:v>3.4531633939048971</c:v>
                </c:pt>
                <c:pt idx="434">
                  <c:v>2.1229499444386217</c:v>
                </c:pt>
                <c:pt idx="435">
                  <c:v>3.2635536322251819</c:v>
                </c:pt>
                <c:pt idx="436">
                  <c:v>2.4649705677928608</c:v>
                </c:pt>
                <c:pt idx="437">
                  <c:v>4.7312208694549156</c:v>
                </c:pt>
                <c:pt idx="438">
                  <c:v>3.4451377393076101</c:v>
                </c:pt>
                <c:pt idx="439">
                  <c:v>1.9873865561294894</c:v>
                </c:pt>
                <c:pt idx="440">
                  <c:v>2.7332243789649437</c:v>
                </c:pt>
                <c:pt idx="441">
                  <c:v>1.9122648141788918</c:v>
                </c:pt>
                <c:pt idx="442">
                  <c:v>1.9617482972531586</c:v>
                </c:pt>
                <c:pt idx="443">
                  <c:v>2.8002169207354215</c:v>
                </c:pt>
                <c:pt idx="444">
                  <c:v>4.5592101216402225</c:v>
                </c:pt>
                <c:pt idx="445">
                  <c:v>5.2673372535541674</c:v>
                </c:pt>
                <c:pt idx="446">
                  <c:v>2.5088147908589096</c:v>
                </c:pt>
                <c:pt idx="447">
                  <c:v>3.0106980451220249</c:v>
                </c:pt>
                <c:pt idx="448">
                  <c:v>4.4387678684885019</c:v>
                </c:pt>
                <c:pt idx="449">
                  <c:v>2.8427244265536693</c:v>
                </c:pt>
                <c:pt idx="450">
                  <c:v>1.9322534935498861</c:v>
                </c:pt>
                <c:pt idx="451">
                  <c:v>2.7905213644440119</c:v>
                </c:pt>
                <c:pt idx="452">
                  <c:v>1.9665028292289439</c:v>
                </c:pt>
                <c:pt idx="453">
                  <c:v>2.1802356551273934</c:v>
                </c:pt>
                <c:pt idx="454">
                  <c:v>3.9425626434804775</c:v>
                </c:pt>
                <c:pt idx="455">
                  <c:v>3.5182620319248565</c:v>
                </c:pt>
                <c:pt idx="456">
                  <c:v>3.3974522107573994</c:v>
                </c:pt>
                <c:pt idx="457">
                  <c:v>1.9682434599291632</c:v>
                </c:pt>
                <c:pt idx="458">
                  <c:v>2.886306040527745</c:v>
                </c:pt>
                <c:pt idx="459">
                  <c:v>2.5058447006304752</c:v>
                </c:pt>
                <c:pt idx="460">
                  <c:v>1.9933980859390652</c:v>
                </c:pt>
                <c:pt idx="461">
                  <c:v>3.480390507907146</c:v>
                </c:pt>
                <c:pt idx="462">
                  <c:v>2.1629870031050258</c:v>
                </c:pt>
                <c:pt idx="463">
                  <c:v>2.2644967923357822</c:v>
                </c:pt>
                <c:pt idx="464">
                  <c:v>3.4162748588048064</c:v>
                </c:pt>
                <c:pt idx="465">
                  <c:v>1.9116743922416966</c:v>
                </c:pt>
                <c:pt idx="466">
                  <c:v>2.097924077207955</c:v>
                </c:pt>
                <c:pt idx="467">
                  <c:v>2.8489460633187509</c:v>
                </c:pt>
                <c:pt idx="468">
                  <c:v>2.4799674367949214</c:v>
                </c:pt>
                <c:pt idx="469">
                  <c:v>1.9502557282071598</c:v>
                </c:pt>
                <c:pt idx="470">
                  <c:v>2.2551751405935727</c:v>
                </c:pt>
                <c:pt idx="471">
                  <c:v>4.7088400482468629</c:v>
                </c:pt>
                <c:pt idx="472">
                  <c:v>4.4916262652595282</c:v>
                </c:pt>
                <c:pt idx="473">
                  <c:v>1.9891926369045352</c:v>
                </c:pt>
                <c:pt idx="474">
                  <c:v>2.3122541418182916</c:v>
                </c:pt>
                <c:pt idx="475">
                  <c:v>3.2984941458248964</c:v>
                </c:pt>
                <c:pt idx="476">
                  <c:v>2.9459689334552239</c:v>
                </c:pt>
                <c:pt idx="477">
                  <c:v>2.1219075321065901</c:v>
                </c:pt>
                <c:pt idx="478">
                  <c:v>2.9780656947511122</c:v>
                </c:pt>
                <c:pt idx="479">
                  <c:v>2.8735507923148629</c:v>
                </c:pt>
                <c:pt idx="480">
                  <c:v>2.5363170461899633</c:v>
                </c:pt>
                <c:pt idx="481">
                  <c:v>2.1737914248835959</c:v>
                </c:pt>
                <c:pt idx="482">
                  <c:v>1.9928463729917565</c:v>
                </c:pt>
                <c:pt idx="483">
                  <c:v>1.9539205859482349</c:v>
                </c:pt>
                <c:pt idx="484">
                  <c:v>4.3778856298414119</c:v>
                </c:pt>
                <c:pt idx="485">
                  <c:v>2.8256515561406697</c:v>
                </c:pt>
                <c:pt idx="486">
                  <c:v>1.9259086866637909</c:v>
                </c:pt>
                <c:pt idx="487">
                  <c:v>2.5500215933839292</c:v>
                </c:pt>
                <c:pt idx="488">
                  <c:v>2.1815392114860672</c:v>
                </c:pt>
                <c:pt idx="489">
                  <c:v>2.6704683725417122</c:v>
                </c:pt>
                <c:pt idx="490">
                  <c:v>2.1572792377049357</c:v>
                </c:pt>
                <c:pt idx="491">
                  <c:v>3.0387219230469364</c:v>
                </c:pt>
                <c:pt idx="492">
                  <c:v>2.8194176124377495</c:v>
                </c:pt>
                <c:pt idx="493">
                  <c:v>4.5492185986605014</c:v>
                </c:pt>
                <c:pt idx="494">
                  <c:v>2.8538782665059559</c:v>
                </c:pt>
                <c:pt idx="495">
                  <c:v>2.7875720823813781</c:v>
                </c:pt>
                <c:pt idx="496">
                  <c:v>2.6844250855006315</c:v>
                </c:pt>
                <c:pt idx="497">
                  <c:v>2.2515030204686939</c:v>
                </c:pt>
                <c:pt idx="498">
                  <c:v>4.0978667876367831</c:v>
                </c:pt>
                <c:pt idx="499">
                  <c:v>2.2811680018224152</c:v>
                </c:pt>
                <c:pt idx="500">
                  <c:v>2.7184323072830368</c:v>
                </c:pt>
                <c:pt idx="501">
                  <c:v>1.9790281612265062</c:v>
                </c:pt>
                <c:pt idx="502">
                  <c:v>2.0937497771667637</c:v>
                </c:pt>
                <c:pt idx="503">
                  <c:v>2.167094024265384</c:v>
                </c:pt>
                <c:pt idx="504">
                  <c:v>4.2225316724638917</c:v>
                </c:pt>
                <c:pt idx="505">
                  <c:v>3.1760756337813834</c:v>
                </c:pt>
                <c:pt idx="506">
                  <c:v>2.7530045678179405</c:v>
                </c:pt>
                <c:pt idx="507">
                  <c:v>2.4858431846765545</c:v>
                </c:pt>
                <c:pt idx="508">
                  <c:v>2.1229419323926297</c:v>
                </c:pt>
                <c:pt idx="509">
                  <c:v>2.4846570639937817</c:v>
                </c:pt>
                <c:pt idx="510">
                  <c:v>2.1296216191632582</c:v>
                </c:pt>
                <c:pt idx="511">
                  <c:v>4.1871554006386775</c:v>
                </c:pt>
                <c:pt idx="512">
                  <c:v>3.2191015751830165</c:v>
                </c:pt>
                <c:pt idx="513">
                  <c:v>2.7473800445153622</c:v>
                </c:pt>
                <c:pt idx="514">
                  <c:v>1.9180970828609816</c:v>
                </c:pt>
                <c:pt idx="515">
                  <c:v>2.3038109311556263</c:v>
                </c:pt>
                <c:pt idx="516">
                  <c:v>2.0180893052671349</c:v>
                </c:pt>
                <c:pt idx="517">
                  <c:v>3.0571887176263388</c:v>
                </c:pt>
                <c:pt idx="518">
                  <c:v>1.9386839400534981</c:v>
                </c:pt>
                <c:pt idx="519">
                  <c:v>1.9241922800855318</c:v>
                </c:pt>
                <c:pt idx="520">
                  <c:v>2.0829175676240723</c:v>
                </c:pt>
                <c:pt idx="521">
                  <c:v>3.0117255277797104</c:v>
                </c:pt>
                <c:pt idx="522">
                  <c:v>2.2097364714700367</c:v>
                </c:pt>
                <c:pt idx="523">
                  <c:v>2.8250764792139043</c:v>
                </c:pt>
                <c:pt idx="524">
                  <c:v>2.1013224975295186</c:v>
                </c:pt>
                <c:pt idx="525">
                  <c:v>1.9724860409251119</c:v>
                </c:pt>
                <c:pt idx="526">
                  <c:v>2.355194903274934</c:v>
                </c:pt>
                <c:pt idx="527">
                  <c:v>2.0747671731399948</c:v>
                </c:pt>
                <c:pt idx="528">
                  <c:v>2.1187047554626441</c:v>
                </c:pt>
                <c:pt idx="529">
                  <c:v>4.3569773277730777</c:v>
                </c:pt>
                <c:pt idx="530">
                  <c:v>5.1406956159432351</c:v>
                </c:pt>
                <c:pt idx="531">
                  <c:v>1.9225825756695234</c:v>
                </c:pt>
                <c:pt idx="532">
                  <c:v>1.9229453975882274</c:v>
                </c:pt>
                <c:pt idx="533">
                  <c:v>2.6021263619771724</c:v>
                </c:pt>
                <c:pt idx="534">
                  <c:v>2.4685997386401493</c:v>
                </c:pt>
                <c:pt idx="535">
                  <c:v>4.5756805250588739</c:v>
                </c:pt>
                <c:pt idx="536">
                  <c:v>3.7486120584534586</c:v>
                </c:pt>
                <c:pt idx="537">
                  <c:v>4.8016725329526162</c:v>
                </c:pt>
                <c:pt idx="538">
                  <c:v>3.3840601924048128</c:v>
                </c:pt>
                <c:pt idx="539">
                  <c:v>2.0151320852195167</c:v>
                </c:pt>
                <c:pt idx="540">
                  <c:v>2.0311142274009213</c:v>
                </c:pt>
                <c:pt idx="541">
                  <c:v>2.1388882866417749</c:v>
                </c:pt>
                <c:pt idx="542">
                  <c:v>2.5222596192098665</c:v>
                </c:pt>
                <c:pt idx="543">
                  <c:v>3.7913166336956152</c:v>
                </c:pt>
                <c:pt idx="544">
                  <c:v>4.0672633947491104</c:v>
                </c:pt>
                <c:pt idx="545">
                  <c:v>2.2621301427576022</c:v>
                </c:pt>
                <c:pt idx="546">
                  <c:v>2.1649467045405739</c:v>
                </c:pt>
                <c:pt idx="547">
                  <c:v>1.9115100724259697</c:v>
                </c:pt>
                <c:pt idx="548">
                  <c:v>3.1099845583404675</c:v>
                </c:pt>
                <c:pt idx="549">
                  <c:v>3.8148579591857348</c:v>
                </c:pt>
                <c:pt idx="550">
                  <c:v>2.0166215929558331</c:v>
                </c:pt>
                <c:pt idx="551">
                  <c:v>2.3613816631035469</c:v>
                </c:pt>
                <c:pt idx="552">
                  <c:v>2.1467828713749539</c:v>
                </c:pt>
                <c:pt idx="553">
                  <c:v>1.9395964641123469</c:v>
                </c:pt>
                <c:pt idx="554">
                  <c:v>2.0312255469184879</c:v>
                </c:pt>
                <c:pt idx="555">
                  <c:v>1.9306923703312744</c:v>
                </c:pt>
                <c:pt idx="556">
                  <c:v>2.1641134542857148</c:v>
                </c:pt>
                <c:pt idx="557">
                  <c:v>3.9090285893249486</c:v>
                </c:pt>
                <c:pt idx="558">
                  <c:v>2.4711615738419375</c:v>
                </c:pt>
                <c:pt idx="559">
                  <c:v>2.2849439718154625</c:v>
                </c:pt>
                <c:pt idx="560">
                  <c:v>4.8920076313208094</c:v>
                </c:pt>
                <c:pt idx="561">
                  <c:v>5.0898632236942873</c:v>
                </c:pt>
                <c:pt idx="562">
                  <c:v>2.6446471499300532</c:v>
                </c:pt>
                <c:pt idx="563">
                  <c:v>2.6839918335123665</c:v>
                </c:pt>
                <c:pt idx="564">
                  <c:v>2.7126954526180636</c:v>
                </c:pt>
                <c:pt idx="565">
                  <c:v>3.0695412051444833</c:v>
                </c:pt>
                <c:pt idx="566">
                  <c:v>4.6686980846289154</c:v>
                </c:pt>
                <c:pt idx="567">
                  <c:v>2.1476042660930132</c:v>
                </c:pt>
                <c:pt idx="568">
                  <c:v>2.0444776436394321</c:v>
                </c:pt>
                <c:pt idx="569">
                  <c:v>4.1864514492709732</c:v>
                </c:pt>
                <c:pt idx="570">
                  <c:v>2.5010210672998738</c:v>
                </c:pt>
                <c:pt idx="571">
                  <c:v>2.0281643004006868</c:v>
                </c:pt>
                <c:pt idx="572">
                  <c:v>4.2466963842853431</c:v>
                </c:pt>
                <c:pt idx="573">
                  <c:v>1.9485732356028782</c:v>
                </c:pt>
                <c:pt idx="574">
                  <c:v>2.0031031091597375</c:v>
                </c:pt>
                <c:pt idx="575">
                  <c:v>2.0693554132958933</c:v>
                </c:pt>
                <c:pt idx="576">
                  <c:v>2.2588863866408242</c:v>
                </c:pt>
                <c:pt idx="577">
                  <c:v>3.7456953582810089</c:v>
                </c:pt>
                <c:pt idx="578">
                  <c:v>4.0739190711971407</c:v>
                </c:pt>
                <c:pt idx="579">
                  <c:v>2.2933732655216081</c:v>
                </c:pt>
                <c:pt idx="580">
                  <c:v>3.3237211425745352</c:v>
                </c:pt>
                <c:pt idx="581">
                  <c:v>2.6806603329827059</c:v>
                </c:pt>
                <c:pt idx="582">
                  <c:v>3.555125649027719</c:v>
                </c:pt>
                <c:pt idx="583">
                  <c:v>3.4332997823517828</c:v>
                </c:pt>
                <c:pt idx="584">
                  <c:v>3.262516074050728</c:v>
                </c:pt>
                <c:pt idx="585">
                  <c:v>4.045167799704771</c:v>
                </c:pt>
                <c:pt idx="586">
                  <c:v>2.6383789202330132</c:v>
                </c:pt>
                <c:pt idx="587">
                  <c:v>2.4374064658996892</c:v>
                </c:pt>
                <c:pt idx="588">
                  <c:v>3.0961480150765683</c:v>
                </c:pt>
                <c:pt idx="589">
                  <c:v>2.1854554826002146</c:v>
                </c:pt>
                <c:pt idx="590">
                  <c:v>3.6346357428719629</c:v>
                </c:pt>
                <c:pt idx="591">
                  <c:v>3.3637425945283486</c:v>
                </c:pt>
                <c:pt idx="592">
                  <c:v>2.971936951814695</c:v>
                </c:pt>
                <c:pt idx="593">
                  <c:v>1.9489773956043774</c:v>
                </c:pt>
                <c:pt idx="594">
                  <c:v>2.9146862257499331</c:v>
                </c:pt>
                <c:pt idx="595">
                  <c:v>1.9133789931570089</c:v>
                </c:pt>
                <c:pt idx="596">
                  <c:v>4.7434508546651877</c:v>
                </c:pt>
                <c:pt idx="597">
                  <c:v>3.1230995040372544</c:v>
                </c:pt>
                <c:pt idx="598">
                  <c:v>2.8688536575758308</c:v>
                </c:pt>
                <c:pt idx="599">
                  <c:v>2.210741039049708</c:v>
                </c:pt>
                <c:pt idx="600">
                  <c:v>4.4890254029708281</c:v>
                </c:pt>
                <c:pt idx="601">
                  <c:v>3.4149685056328907</c:v>
                </c:pt>
                <c:pt idx="602">
                  <c:v>4.7241176719737288</c:v>
                </c:pt>
                <c:pt idx="603">
                  <c:v>2.1068421252071583</c:v>
                </c:pt>
                <c:pt idx="604">
                  <c:v>5.2925948929087401</c:v>
                </c:pt>
                <c:pt idx="605">
                  <c:v>2.309099482591535</c:v>
                </c:pt>
                <c:pt idx="606">
                  <c:v>1.9229204300123564</c:v>
                </c:pt>
                <c:pt idx="607">
                  <c:v>2.135925885142417</c:v>
                </c:pt>
                <c:pt idx="608">
                  <c:v>1.9218449383516782</c:v>
                </c:pt>
                <c:pt idx="609">
                  <c:v>3.9392242035239859</c:v>
                </c:pt>
                <c:pt idx="610">
                  <c:v>2.1475239266347952</c:v>
                </c:pt>
                <c:pt idx="611">
                  <c:v>2.3638508163344909</c:v>
                </c:pt>
                <c:pt idx="612">
                  <c:v>4.4055007313978907</c:v>
                </c:pt>
                <c:pt idx="613">
                  <c:v>4.355858061075164</c:v>
                </c:pt>
                <c:pt idx="614">
                  <c:v>3.5098336720835071</c:v>
                </c:pt>
                <c:pt idx="615">
                  <c:v>2.1883936957819565</c:v>
                </c:pt>
                <c:pt idx="616">
                  <c:v>2.5427750056032137</c:v>
                </c:pt>
                <c:pt idx="617">
                  <c:v>2.3700488165084539</c:v>
                </c:pt>
                <c:pt idx="618">
                  <c:v>2.694948189558537</c:v>
                </c:pt>
                <c:pt idx="619">
                  <c:v>2.3212929334966779</c:v>
                </c:pt>
                <c:pt idx="620">
                  <c:v>1.9241191997840086</c:v>
                </c:pt>
                <c:pt idx="621">
                  <c:v>5.0284890401890072</c:v>
                </c:pt>
                <c:pt idx="622">
                  <c:v>2.1232973886622668</c:v>
                </c:pt>
                <c:pt idx="623">
                  <c:v>2.1872175243572478</c:v>
                </c:pt>
                <c:pt idx="624">
                  <c:v>2.7303593825600068</c:v>
                </c:pt>
                <c:pt idx="625">
                  <c:v>4.0320956381863162</c:v>
                </c:pt>
                <c:pt idx="626">
                  <c:v>2.9329177145056478</c:v>
                </c:pt>
                <c:pt idx="627">
                  <c:v>4.5059881406517794</c:v>
                </c:pt>
                <c:pt idx="628">
                  <c:v>2.3511146530539104</c:v>
                </c:pt>
                <c:pt idx="629">
                  <c:v>2.748130027129144</c:v>
                </c:pt>
                <c:pt idx="630">
                  <c:v>2.7009531247330352</c:v>
                </c:pt>
                <c:pt idx="631">
                  <c:v>3.7676406194072682</c:v>
                </c:pt>
                <c:pt idx="632">
                  <c:v>4.3913782338881173</c:v>
                </c:pt>
                <c:pt idx="633">
                  <c:v>1.9250046532795488</c:v>
                </c:pt>
                <c:pt idx="634">
                  <c:v>3.1094946553780836</c:v>
                </c:pt>
                <c:pt idx="635">
                  <c:v>3.7364347413210948</c:v>
                </c:pt>
                <c:pt idx="636">
                  <c:v>2.1169731822529227</c:v>
                </c:pt>
                <c:pt idx="637">
                  <c:v>5.0836622007373524</c:v>
                </c:pt>
                <c:pt idx="638">
                  <c:v>4.8962786245156558</c:v>
                </c:pt>
                <c:pt idx="639">
                  <c:v>3.8433989251550891</c:v>
                </c:pt>
                <c:pt idx="640">
                  <c:v>5.0803787783554126</c:v>
                </c:pt>
                <c:pt idx="641">
                  <c:v>2.8900929048358934</c:v>
                </c:pt>
                <c:pt idx="642">
                  <c:v>3.4871618781938887</c:v>
                </c:pt>
                <c:pt idx="643">
                  <c:v>2.6885545239284854</c:v>
                </c:pt>
                <c:pt idx="644">
                  <c:v>2.0028966778102624</c:v>
                </c:pt>
                <c:pt idx="645">
                  <c:v>2.2499349484521005</c:v>
                </c:pt>
                <c:pt idx="646">
                  <c:v>2.0183343447942583</c:v>
                </c:pt>
                <c:pt idx="647">
                  <c:v>1.9193080985999018</c:v>
                </c:pt>
                <c:pt idx="648">
                  <c:v>2.6199275257889143</c:v>
                </c:pt>
                <c:pt idx="649">
                  <c:v>2.0832753553918684</c:v>
                </c:pt>
                <c:pt idx="650">
                  <c:v>4.4216541861273617</c:v>
                </c:pt>
                <c:pt idx="651">
                  <c:v>3.7206304130928487</c:v>
                </c:pt>
                <c:pt idx="652">
                  <c:v>2.8794066280299568</c:v>
                </c:pt>
                <c:pt idx="653">
                  <c:v>4.2534443205269392</c:v>
                </c:pt>
                <c:pt idx="654">
                  <c:v>4.5383120933022276</c:v>
                </c:pt>
                <c:pt idx="655">
                  <c:v>3.6055069667916522</c:v>
                </c:pt>
                <c:pt idx="656">
                  <c:v>1.9806052506796925</c:v>
                </c:pt>
                <c:pt idx="657">
                  <c:v>2.6228222198507187</c:v>
                </c:pt>
                <c:pt idx="658">
                  <c:v>2.5687361750922024</c:v>
                </c:pt>
                <c:pt idx="659">
                  <c:v>3.0965356892640612</c:v>
                </c:pt>
                <c:pt idx="660">
                  <c:v>2.5484395900092127</c:v>
                </c:pt>
                <c:pt idx="661">
                  <c:v>1.9621390316015908</c:v>
                </c:pt>
                <c:pt idx="662">
                  <c:v>3.5277521400248251</c:v>
                </c:pt>
                <c:pt idx="663">
                  <c:v>3.2204488991932312</c:v>
                </c:pt>
                <c:pt idx="664">
                  <c:v>2.7898808498447552</c:v>
                </c:pt>
                <c:pt idx="665">
                  <c:v>2.3957529968585543</c:v>
                </c:pt>
                <c:pt idx="666">
                  <c:v>2.934656037939289</c:v>
                </c:pt>
                <c:pt idx="667">
                  <c:v>4.0719178988369471</c:v>
                </c:pt>
                <c:pt idx="668">
                  <c:v>2.6706615698191212</c:v>
                </c:pt>
                <c:pt idx="669">
                  <c:v>3.0505332621466432</c:v>
                </c:pt>
                <c:pt idx="670">
                  <c:v>2.1327891005331212</c:v>
                </c:pt>
                <c:pt idx="671">
                  <c:v>3.0103424558524794</c:v>
                </c:pt>
                <c:pt idx="672">
                  <c:v>3.9281027990983359</c:v>
                </c:pt>
                <c:pt idx="673">
                  <c:v>3.5702613741447311</c:v>
                </c:pt>
                <c:pt idx="674">
                  <c:v>2.1470994589322721</c:v>
                </c:pt>
                <c:pt idx="675">
                  <c:v>1.9849369585665371</c:v>
                </c:pt>
                <c:pt idx="676">
                  <c:v>3.8205467645531539</c:v>
                </c:pt>
                <c:pt idx="677">
                  <c:v>2.445449730770191</c:v>
                </c:pt>
                <c:pt idx="678">
                  <c:v>3.8938502458826361</c:v>
                </c:pt>
                <c:pt idx="679">
                  <c:v>2.808503802509593</c:v>
                </c:pt>
                <c:pt idx="680">
                  <c:v>4.1703155883062113</c:v>
                </c:pt>
                <c:pt idx="681">
                  <c:v>2.4627328913301767</c:v>
                </c:pt>
                <c:pt idx="682">
                  <c:v>5.3149438669480773</c:v>
                </c:pt>
                <c:pt idx="683">
                  <c:v>2.0380928661828963</c:v>
                </c:pt>
                <c:pt idx="684">
                  <c:v>2.5743465329417488</c:v>
                </c:pt>
                <c:pt idx="685">
                  <c:v>2.0395181010806134</c:v>
                </c:pt>
                <c:pt idx="686">
                  <c:v>2.0993356142480639</c:v>
                </c:pt>
                <c:pt idx="687">
                  <c:v>2.1479527759518171</c:v>
                </c:pt>
                <c:pt idx="688">
                  <c:v>2.0099322387021163</c:v>
                </c:pt>
                <c:pt idx="689">
                  <c:v>2.5481027412471198</c:v>
                </c:pt>
                <c:pt idx="690">
                  <c:v>2.118988797797575</c:v>
                </c:pt>
                <c:pt idx="691">
                  <c:v>1.9335554446333081</c:v>
                </c:pt>
                <c:pt idx="692">
                  <c:v>4.3814879054642395</c:v>
                </c:pt>
                <c:pt idx="693">
                  <c:v>2.0385665125634786</c:v>
                </c:pt>
                <c:pt idx="694">
                  <c:v>1.9350412088107614</c:v>
                </c:pt>
                <c:pt idx="695">
                  <c:v>1.9603918600350576</c:v>
                </c:pt>
                <c:pt idx="696">
                  <c:v>3.4982222011275783</c:v>
                </c:pt>
                <c:pt idx="697">
                  <c:v>3.6665854364938073</c:v>
                </c:pt>
                <c:pt idx="698">
                  <c:v>2.7637152393056774</c:v>
                </c:pt>
                <c:pt idx="699">
                  <c:v>2.9323372392750739</c:v>
                </c:pt>
                <c:pt idx="700">
                  <c:v>2.2887390815598079</c:v>
                </c:pt>
                <c:pt idx="701">
                  <c:v>3.0437227787407393</c:v>
                </c:pt>
                <c:pt idx="702">
                  <c:v>3.0639247086179049</c:v>
                </c:pt>
                <c:pt idx="703">
                  <c:v>4.0312800700129054</c:v>
                </c:pt>
                <c:pt idx="704">
                  <c:v>2.8382506196517312</c:v>
                </c:pt>
                <c:pt idx="705">
                  <c:v>1.927278541975973</c:v>
                </c:pt>
                <c:pt idx="706">
                  <c:v>2.9283917769443484</c:v>
                </c:pt>
                <c:pt idx="707">
                  <c:v>1.9695504753436537</c:v>
                </c:pt>
                <c:pt idx="708">
                  <c:v>1.9654383469286987</c:v>
                </c:pt>
                <c:pt idx="709">
                  <c:v>3.3169755935396483</c:v>
                </c:pt>
                <c:pt idx="710">
                  <c:v>2.2485993518485121</c:v>
                </c:pt>
                <c:pt idx="711">
                  <c:v>2.3348570355356131</c:v>
                </c:pt>
                <c:pt idx="712">
                  <c:v>2.815556804432767</c:v>
                </c:pt>
                <c:pt idx="713">
                  <c:v>3.2980517149670834</c:v>
                </c:pt>
                <c:pt idx="714">
                  <c:v>2.515989417028146</c:v>
                </c:pt>
                <c:pt idx="715">
                  <c:v>4.3097235124331759</c:v>
                </c:pt>
                <c:pt idx="716">
                  <c:v>2.3605201203553658</c:v>
                </c:pt>
                <c:pt idx="717">
                  <c:v>2.4695056411960645</c:v>
                </c:pt>
                <c:pt idx="718">
                  <c:v>2.0787421761135461</c:v>
                </c:pt>
                <c:pt idx="719">
                  <c:v>3.9145261985181956</c:v>
                </c:pt>
                <c:pt idx="720">
                  <c:v>2.6830221238861034</c:v>
                </c:pt>
                <c:pt idx="721">
                  <c:v>2.6153334045038314</c:v>
                </c:pt>
                <c:pt idx="722">
                  <c:v>1.9223498752684716</c:v>
                </c:pt>
                <c:pt idx="723">
                  <c:v>1.9734284891335505</c:v>
                </c:pt>
                <c:pt idx="724">
                  <c:v>2.4254814503752762</c:v>
                </c:pt>
                <c:pt idx="725">
                  <c:v>2.0871301254418686</c:v>
                </c:pt>
                <c:pt idx="726">
                  <c:v>1.938221999938128</c:v>
                </c:pt>
                <c:pt idx="727">
                  <c:v>2.2344104046767428</c:v>
                </c:pt>
                <c:pt idx="728">
                  <c:v>2.0343731393388267</c:v>
                </c:pt>
                <c:pt idx="729">
                  <c:v>4.8401203926942706</c:v>
                </c:pt>
                <c:pt idx="730">
                  <c:v>4.1305943692297671</c:v>
                </c:pt>
                <c:pt idx="731">
                  <c:v>4.2715547279414956</c:v>
                </c:pt>
                <c:pt idx="732">
                  <c:v>2.4388074836939202</c:v>
                </c:pt>
                <c:pt idx="733">
                  <c:v>3.2859548309319817</c:v>
                </c:pt>
                <c:pt idx="734">
                  <c:v>3.7468252560097146</c:v>
                </c:pt>
                <c:pt idx="735">
                  <c:v>1.9117532321681319</c:v>
                </c:pt>
                <c:pt idx="736">
                  <c:v>2.1398800113978149</c:v>
                </c:pt>
                <c:pt idx="737">
                  <c:v>2.0984370500608089</c:v>
                </c:pt>
                <c:pt idx="738">
                  <c:v>2.0925778829382349</c:v>
                </c:pt>
                <c:pt idx="739">
                  <c:v>2.7254244898954565</c:v>
                </c:pt>
                <c:pt idx="740">
                  <c:v>2.5996789767859463</c:v>
                </c:pt>
                <c:pt idx="741">
                  <c:v>5.1895977246591967</c:v>
                </c:pt>
                <c:pt idx="742">
                  <c:v>4.8792757599911463</c:v>
                </c:pt>
                <c:pt idx="743">
                  <c:v>4.1442448297416119</c:v>
                </c:pt>
                <c:pt idx="744">
                  <c:v>2.7959698003016733</c:v>
                </c:pt>
                <c:pt idx="745">
                  <c:v>3.2767962759810554</c:v>
                </c:pt>
                <c:pt idx="746">
                  <c:v>3.8204736550525253</c:v>
                </c:pt>
                <c:pt idx="747">
                  <c:v>2.7502504368596332</c:v>
                </c:pt>
                <c:pt idx="748">
                  <c:v>1.9613846735155041</c:v>
                </c:pt>
                <c:pt idx="749">
                  <c:v>3.7370730009236883</c:v>
                </c:pt>
                <c:pt idx="750">
                  <c:v>3.3946401135805404</c:v>
                </c:pt>
                <c:pt idx="751">
                  <c:v>5.236896018591974</c:v>
                </c:pt>
                <c:pt idx="752">
                  <c:v>2.8372045299210189</c:v>
                </c:pt>
                <c:pt idx="753">
                  <c:v>3.0734547171357449</c:v>
                </c:pt>
                <c:pt idx="754">
                  <c:v>2.2575734349890491</c:v>
                </c:pt>
                <c:pt idx="755">
                  <c:v>1.9155873911506851</c:v>
                </c:pt>
                <c:pt idx="756">
                  <c:v>1.9129150310616183</c:v>
                </c:pt>
                <c:pt idx="757">
                  <c:v>2.1332726253975998</c:v>
                </c:pt>
                <c:pt idx="758">
                  <c:v>2.0179576378596926</c:v>
                </c:pt>
                <c:pt idx="759">
                  <c:v>4.3092612806080801</c:v>
                </c:pt>
                <c:pt idx="760">
                  <c:v>1.9113951507933225</c:v>
                </c:pt>
                <c:pt idx="761">
                  <c:v>2.1351828719609887</c:v>
                </c:pt>
                <c:pt idx="762">
                  <c:v>3.3322577294714923</c:v>
                </c:pt>
                <c:pt idx="763">
                  <c:v>2.277025925857731</c:v>
                </c:pt>
                <c:pt idx="764">
                  <c:v>3.4607371831257834</c:v>
                </c:pt>
                <c:pt idx="765">
                  <c:v>4.1098826454259951</c:v>
                </c:pt>
                <c:pt idx="766">
                  <c:v>4.0146044703361969</c:v>
                </c:pt>
                <c:pt idx="767">
                  <c:v>2.3190271040121893</c:v>
                </c:pt>
                <c:pt idx="768">
                  <c:v>2.1625429787223425</c:v>
                </c:pt>
                <c:pt idx="769">
                  <c:v>2.1958353012626683</c:v>
                </c:pt>
                <c:pt idx="770">
                  <c:v>1.9335234261337464</c:v>
                </c:pt>
                <c:pt idx="771">
                  <c:v>2.471512137046981</c:v>
                </c:pt>
                <c:pt idx="772">
                  <c:v>2.9237471220930296</c:v>
                </c:pt>
                <c:pt idx="773">
                  <c:v>2.2011972690958626</c:v>
                </c:pt>
                <c:pt idx="774">
                  <c:v>4.7540300093150876</c:v>
                </c:pt>
                <c:pt idx="775">
                  <c:v>1.9999750196241093</c:v>
                </c:pt>
                <c:pt idx="776">
                  <c:v>1.9149560236180778</c:v>
                </c:pt>
                <c:pt idx="777">
                  <c:v>3.93065613050122</c:v>
                </c:pt>
                <c:pt idx="778">
                  <c:v>4.2547725168914958</c:v>
                </c:pt>
                <c:pt idx="779">
                  <c:v>4.6245706964835911</c:v>
                </c:pt>
                <c:pt idx="780">
                  <c:v>3.0392628284657595</c:v>
                </c:pt>
                <c:pt idx="781">
                  <c:v>3.2913320368171939</c:v>
                </c:pt>
                <c:pt idx="782">
                  <c:v>2.9668075574863817</c:v>
                </c:pt>
                <c:pt idx="783">
                  <c:v>1.9321040687012094</c:v>
                </c:pt>
                <c:pt idx="784">
                  <c:v>2.2876497063565857</c:v>
                </c:pt>
                <c:pt idx="785">
                  <c:v>1.9108181061713407</c:v>
                </c:pt>
                <c:pt idx="786">
                  <c:v>3.1351647490348089</c:v>
                </c:pt>
                <c:pt idx="787">
                  <c:v>2.9997082047184147</c:v>
                </c:pt>
                <c:pt idx="788">
                  <c:v>3.4701357146110956</c:v>
                </c:pt>
                <c:pt idx="789">
                  <c:v>1.9815811895466746</c:v>
                </c:pt>
                <c:pt idx="790">
                  <c:v>2.2813043259035748</c:v>
                </c:pt>
                <c:pt idx="791">
                  <c:v>4.0273558850260267</c:v>
                </c:pt>
                <c:pt idx="792">
                  <c:v>2.0540872262682064</c:v>
                </c:pt>
                <c:pt idx="793">
                  <c:v>2.2523883963215341</c:v>
                </c:pt>
                <c:pt idx="794">
                  <c:v>2.1681983880577835</c:v>
                </c:pt>
                <c:pt idx="795">
                  <c:v>3.120819604883986</c:v>
                </c:pt>
                <c:pt idx="796">
                  <c:v>3.3618330770881162</c:v>
                </c:pt>
                <c:pt idx="797">
                  <c:v>1.9641088706503544</c:v>
                </c:pt>
                <c:pt idx="798">
                  <c:v>3.3779517698735906</c:v>
                </c:pt>
                <c:pt idx="799">
                  <c:v>5.1380514695800681</c:v>
                </c:pt>
                <c:pt idx="800">
                  <c:v>3.4885736921773112</c:v>
                </c:pt>
                <c:pt idx="801">
                  <c:v>4.1165677125448399</c:v>
                </c:pt>
                <c:pt idx="802">
                  <c:v>1.9238521772931174</c:v>
                </c:pt>
                <c:pt idx="803">
                  <c:v>2.1034641165068697</c:v>
                </c:pt>
                <c:pt idx="804">
                  <c:v>2.7428616587451482</c:v>
                </c:pt>
                <c:pt idx="805">
                  <c:v>2.564956058112299</c:v>
                </c:pt>
                <c:pt idx="806">
                  <c:v>2.0341335885824674</c:v>
                </c:pt>
                <c:pt idx="807">
                  <c:v>2.5055216412911165</c:v>
                </c:pt>
                <c:pt idx="808">
                  <c:v>2.7106515061664198</c:v>
                </c:pt>
                <c:pt idx="809">
                  <c:v>3.1820218452459237</c:v>
                </c:pt>
                <c:pt idx="810">
                  <c:v>1.9222309901999419</c:v>
                </c:pt>
                <c:pt idx="811">
                  <c:v>5.3014866027951495</c:v>
                </c:pt>
                <c:pt idx="812">
                  <c:v>2.1019926840020711</c:v>
                </c:pt>
                <c:pt idx="813">
                  <c:v>2.0949684540034341</c:v>
                </c:pt>
                <c:pt idx="814">
                  <c:v>3.450966906764751</c:v>
                </c:pt>
                <c:pt idx="815">
                  <c:v>2.0688166289614625</c:v>
                </c:pt>
                <c:pt idx="816">
                  <c:v>2.8752434659421859</c:v>
                </c:pt>
                <c:pt idx="817">
                  <c:v>3.9243534647038301</c:v>
                </c:pt>
                <c:pt idx="818">
                  <c:v>1.9567571601431524</c:v>
                </c:pt>
                <c:pt idx="819">
                  <c:v>2.8273290928800487</c:v>
                </c:pt>
                <c:pt idx="820">
                  <c:v>1.9440920994443938</c:v>
                </c:pt>
                <c:pt idx="821">
                  <c:v>2.1511603975336961</c:v>
                </c:pt>
                <c:pt idx="822">
                  <c:v>2.4191435683887241</c:v>
                </c:pt>
                <c:pt idx="823">
                  <c:v>3.3636885482477843</c:v>
                </c:pt>
                <c:pt idx="824">
                  <c:v>2.0260980443607659</c:v>
                </c:pt>
                <c:pt idx="825">
                  <c:v>2.7203754391052146</c:v>
                </c:pt>
                <c:pt idx="826">
                  <c:v>4.6845292939467109</c:v>
                </c:pt>
                <c:pt idx="827">
                  <c:v>3.2634786379565073</c:v>
                </c:pt>
                <c:pt idx="828">
                  <c:v>2.1837393012630812</c:v>
                </c:pt>
                <c:pt idx="829">
                  <c:v>1.9783229975884145</c:v>
                </c:pt>
                <c:pt idx="830">
                  <c:v>2.4474783814410852</c:v>
                </c:pt>
                <c:pt idx="831">
                  <c:v>3.4247943368126319</c:v>
                </c:pt>
                <c:pt idx="832">
                  <c:v>4.1883848017496845</c:v>
                </c:pt>
                <c:pt idx="833">
                  <c:v>1.9246886288657747</c:v>
                </c:pt>
                <c:pt idx="834">
                  <c:v>2.9207180960541059</c:v>
                </c:pt>
                <c:pt idx="835">
                  <c:v>5.0351445265520027</c:v>
                </c:pt>
                <c:pt idx="836">
                  <c:v>1.9694384282333843</c:v>
                </c:pt>
                <c:pt idx="837">
                  <c:v>2.9564383429181929</c:v>
                </c:pt>
                <c:pt idx="838">
                  <c:v>1.916115503724368</c:v>
                </c:pt>
                <c:pt idx="839">
                  <c:v>2.3340269858536038</c:v>
                </c:pt>
                <c:pt idx="840">
                  <c:v>2.6447690962434076</c:v>
                </c:pt>
                <c:pt idx="841">
                  <c:v>2.4454017323200743</c:v>
                </c:pt>
                <c:pt idx="842">
                  <c:v>2.5707395714083039</c:v>
                </c:pt>
                <c:pt idx="843">
                  <c:v>2.2547796601082446</c:v>
                </c:pt>
                <c:pt idx="844">
                  <c:v>1.9488145674330992</c:v>
                </c:pt>
                <c:pt idx="845">
                  <c:v>3.7505778402665926</c:v>
                </c:pt>
                <c:pt idx="846">
                  <c:v>3.7296395624534822</c:v>
                </c:pt>
                <c:pt idx="847">
                  <c:v>2.8903527038291239</c:v>
                </c:pt>
                <c:pt idx="848">
                  <c:v>2.4171993625657113</c:v>
                </c:pt>
                <c:pt idx="849">
                  <c:v>2.7984709534389784</c:v>
                </c:pt>
                <c:pt idx="850">
                  <c:v>5.3638700217613966</c:v>
                </c:pt>
                <c:pt idx="851">
                  <c:v>2.3621509167454788</c:v>
                </c:pt>
                <c:pt idx="852">
                  <c:v>2.3557589387130546</c:v>
                </c:pt>
                <c:pt idx="853">
                  <c:v>3.3326586376158973</c:v>
                </c:pt>
                <c:pt idx="854">
                  <c:v>3.7493925818675886</c:v>
                </c:pt>
                <c:pt idx="855">
                  <c:v>3.7151306089734679</c:v>
                </c:pt>
                <c:pt idx="856">
                  <c:v>2.3108488899758068</c:v>
                </c:pt>
                <c:pt idx="857">
                  <c:v>2.0461444819356776</c:v>
                </c:pt>
                <c:pt idx="858">
                  <c:v>2.5305358240462175</c:v>
                </c:pt>
                <c:pt idx="859">
                  <c:v>1.9752449027169012</c:v>
                </c:pt>
                <c:pt idx="860">
                  <c:v>2.1007139932770964</c:v>
                </c:pt>
                <c:pt idx="861">
                  <c:v>3.757492936224593</c:v>
                </c:pt>
                <c:pt idx="862">
                  <c:v>3.5711882296575448</c:v>
                </c:pt>
                <c:pt idx="863">
                  <c:v>3.6522312582899503</c:v>
                </c:pt>
                <c:pt idx="864">
                  <c:v>3.6609860313452232</c:v>
                </c:pt>
                <c:pt idx="865">
                  <c:v>2.0266222541903223</c:v>
                </c:pt>
                <c:pt idx="866">
                  <c:v>3.125519882654292</c:v>
                </c:pt>
                <c:pt idx="867">
                  <c:v>1.9110015501535249</c:v>
                </c:pt>
                <c:pt idx="868">
                  <c:v>5.2084490446494254</c:v>
                </c:pt>
                <c:pt idx="869">
                  <c:v>4.3980908239892909</c:v>
                </c:pt>
                <c:pt idx="870">
                  <c:v>1.9498525010088785</c:v>
                </c:pt>
                <c:pt idx="871">
                  <c:v>1.9196829629703251</c:v>
                </c:pt>
                <c:pt idx="872">
                  <c:v>3.5433617940780668</c:v>
                </c:pt>
                <c:pt idx="873">
                  <c:v>1.9480248160182709</c:v>
                </c:pt>
                <c:pt idx="874">
                  <c:v>2.5773334819858085</c:v>
                </c:pt>
                <c:pt idx="875">
                  <c:v>1.9831135974746037</c:v>
                </c:pt>
                <c:pt idx="876">
                  <c:v>2.0420100596031663</c:v>
                </c:pt>
                <c:pt idx="877">
                  <c:v>2.5666846379285335</c:v>
                </c:pt>
                <c:pt idx="878">
                  <c:v>3.0979875147694416</c:v>
                </c:pt>
                <c:pt idx="879">
                  <c:v>2.367381103059746</c:v>
                </c:pt>
                <c:pt idx="880">
                  <c:v>3.7459428469697795</c:v>
                </c:pt>
                <c:pt idx="881">
                  <c:v>4.3059068682870736</c:v>
                </c:pt>
                <c:pt idx="882">
                  <c:v>1.9105137207175924</c:v>
                </c:pt>
                <c:pt idx="883">
                  <c:v>1.9116809027428032</c:v>
                </c:pt>
                <c:pt idx="884">
                  <c:v>4.3624725768003403</c:v>
                </c:pt>
                <c:pt idx="885">
                  <c:v>2.53665067403902</c:v>
                </c:pt>
                <c:pt idx="886">
                  <c:v>3.5762831926748588</c:v>
                </c:pt>
                <c:pt idx="887">
                  <c:v>2.7739855641958995</c:v>
                </c:pt>
                <c:pt idx="888">
                  <c:v>2.7896822837634505</c:v>
                </c:pt>
                <c:pt idx="889">
                  <c:v>1.9103882986627208</c:v>
                </c:pt>
                <c:pt idx="890">
                  <c:v>4.5804549642658356</c:v>
                </c:pt>
                <c:pt idx="891">
                  <c:v>2.7032052895430234</c:v>
                </c:pt>
                <c:pt idx="892">
                  <c:v>2.7757676656384112</c:v>
                </c:pt>
                <c:pt idx="893">
                  <c:v>2.0030072615981545</c:v>
                </c:pt>
                <c:pt idx="894">
                  <c:v>3.3060445374276242</c:v>
                </c:pt>
                <c:pt idx="895">
                  <c:v>5.2669482200859186</c:v>
                </c:pt>
                <c:pt idx="896">
                  <c:v>4.5021171074128636</c:v>
                </c:pt>
                <c:pt idx="897">
                  <c:v>2.6035738450475128</c:v>
                </c:pt>
                <c:pt idx="898">
                  <c:v>3.4360753241609974</c:v>
                </c:pt>
                <c:pt idx="899">
                  <c:v>1.9111452145548347</c:v>
                </c:pt>
                <c:pt idx="900">
                  <c:v>2.3695554200954256</c:v>
                </c:pt>
                <c:pt idx="901">
                  <c:v>3.5671741399031984</c:v>
                </c:pt>
                <c:pt idx="902">
                  <c:v>4.5930460590557463</c:v>
                </c:pt>
                <c:pt idx="903">
                  <c:v>1.9153990790853066</c:v>
                </c:pt>
                <c:pt idx="904">
                  <c:v>1.9470455789574435</c:v>
                </c:pt>
                <c:pt idx="905">
                  <c:v>1.9195974545550774</c:v>
                </c:pt>
                <c:pt idx="906">
                  <c:v>2.1470918113499247</c:v>
                </c:pt>
                <c:pt idx="907">
                  <c:v>2.2752231138985746</c:v>
                </c:pt>
                <c:pt idx="908">
                  <c:v>2.946465598737805</c:v>
                </c:pt>
                <c:pt idx="909">
                  <c:v>2.3954624425570517</c:v>
                </c:pt>
                <c:pt idx="910">
                  <c:v>2.5275197024757068</c:v>
                </c:pt>
                <c:pt idx="911">
                  <c:v>2.2316050354085872</c:v>
                </c:pt>
                <c:pt idx="912">
                  <c:v>3.0112163432544508</c:v>
                </c:pt>
                <c:pt idx="913">
                  <c:v>3.9203042953778993</c:v>
                </c:pt>
                <c:pt idx="914">
                  <c:v>4.5501415745093627</c:v>
                </c:pt>
                <c:pt idx="915">
                  <c:v>2.4816200720507737</c:v>
                </c:pt>
                <c:pt idx="916">
                  <c:v>2.7619017475781034</c:v>
                </c:pt>
                <c:pt idx="917">
                  <c:v>3.8383155213592715</c:v>
                </c:pt>
                <c:pt idx="918">
                  <c:v>2.0593346863663369</c:v>
                </c:pt>
                <c:pt idx="919">
                  <c:v>3.1500103963012149</c:v>
                </c:pt>
                <c:pt idx="920">
                  <c:v>3.364697270644851</c:v>
                </c:pt>
                <c:pt idx="921">
                  <c:v>1.9294433964075535</c:v>
                </c:pt>
                <c:pt idx="922">
                  <c:v>4.3751951719311792</c:v>
                </c:pt>
                <c:pt idx="923">
                  <c:v>4.3877889610716965</c:v>
                </c:pt>
                <c:pt idx="924">
                  <c:v>2.1509612917529841</c:v>
                </c:pt>
                <c:pt idx="925">
                  <c:v>1.9413155998767186</c:v>
                </c:pt>
                <c:pt idx="926">
                  <c:v>2.7262558279786364</c:v>
                </c:pt>
                <c:pt idx="927">
                  <c:v>3.7890682165737948</c:v>
                </c:pt>
                <c:pt idx="928">
                  <c:v>1.982694655220586</c:v>
                </c:pt>
                <c:pt idx="929">
                  <c:v>2.6916963841352994</c:v>
                </c:pt>
                <c:pt idx="930">
                  <c:v>2.8806336543190185</c:v>
                </c:pt>
                <c:pt idx="931">
                  <c:v>2.9918865376458834</c:v>
                </c:pt>
                <c:pt idx="932">
                  <c:v>4.6044122488207746</c:v>
                </c:pt>
                <c:pt idx="933">
                  <c:v>1.9178476818236607</c:v>
                </c:pt>
                <c:pt idx="934">
                  <c:v>1.9472266080316929</c:v>
                </c:pt>
                <c:pt idx="935">
                  <c:v>2.1528141494633726</c:v>
                </c:pt>
                <c:pt idx="936">
                  <c:v>2.2910731159581768</c:v>
                </c:pt>
                <c:pt idx="937">
                  <c:v>2.7932499867239864</c:v>
                </c:pt>
                <c:pt idx="938">
                  <c:v>2.7077296052596416</c:v>
                </c:pt>
                <c:pt idx="939">
                  <c:v>3.2032401468090721</c:v>
                </c:pt>
                <c:pt idx="940">
                  <c:v>1.9561666987745394</c:v>
                </c:pt>
                <c:pt idx="941">
                  <c:v>2.8957938164296508</c:v>
                </c:pt>
                <c:pt idx="942">
                  <c:v>2.7405345866538808</c:v>
                </c:pt>
                <c:pt idx="943">
                  <c:v>2.4062907618141391</c:v>
                </c:pt>
                <c:pt idx="944">
                  <c:v>1.920150760370489</c:v>
                </c:pt>
                <c:pt idx="945">
                  <c:v>2.5918864485519957</c:v>
                </c:pt>
                <c:pt idx="946">
                  <c:v>2.9861726628802061</c:v>
                </c:pt>
                <c:pt idx="947">
                  <c:v>2.0443676257021033</c:v>
                </c:pt>
                <c:pt idx="948">
                  <c:v>2.6161271191505118</c:v>
                </c:pt>
                <c:pt idx="949">
                  <c:v>2.8627480282161626</c:v>
                </c:pt>
                <c:pt idx="950">
                  <c:v>4.0180726869457963</c:v>
                </c:pt>
                <c:pt idx="951">
                  <c:v>2.913104096114997</c:v>
                </c:pt>
                <c:pt idx="952">
                  <c:v>3.0936548336727703</c:v>
                </c:pt>
                <c:pt idx="953">
                  <c:v>2.81111003183078</c:v>
                </c:pt>
                <c:pt idx="954">
                  <c:v>2.1150895341207478</c:v>
                </c:pt>
                <c:pt idx="955">
                  <c:v>4.2082271228081085</c:v>
                </c:pt>
                <c:pt idx="956">
                  <c:v>2.679297386825664</c:v>
                </c:pt>
                <c:pt idx="957">
                  <c:v>3.3679470465285863</c:v>
                </c:pt>
                <c:pt idx="958">
                  <c:v>2.0315390075693593</c:v>
                </c:pt>
                <c:pt idx="959">
                  <c:v>3.0833142141923631</c:v>
                </c:pt>
                <c:pt idx="960">
                  <c:v>2.200390881842575</c:v>
                </c:pt>
                <c:pt idx="961">
                  <c:v>2.1974594532041318</c:v>
                </c:pt>
                <c:pt idx="962">
                  <c:v>3.7265583298221463</c:v>
                </c:pt>
                <c:pt idx="963">
                  <c:v>1.9479856567964229</c:v>
                </c:pt>
                <c:pt idx="964">
                  <c:v>2.1290354969979965</c:v>
                </c:pt>
                <c:pt idx="965">
                  <c:v>1.9221018542826958</c:v>
                </c:pt>
                <c:pt idx="966">
                  <c:v>2.1656963766693247</c:v>
                </c:pt>
                <c:pt idx="967">
                  <c:v>3.1397242854331693</c:v>
                </c:pt>
                <c:pt idx="968">
                  <c:v>2.6739157116659502</c:v>
                </c:pt>
                <c:pt idx="969">
                  <c:v>2.9558474088719278</c:v>
                </c:pt>
                <c:pt idx="970">
                  <c:v>2.6418179684251122</c:v>
                </c:pt>
                <c:pt idx="971">
                  <c:v>1.9107601816819559</c:v>
                </c:pt>
                <c:pt idx="972">
                  <c:v>2.3099628342063512</c:v>
                </c:pt>
                <c:pt idx="973">
                  <c:v>2.1908238423154236</c:v>
                </c:pt>
                <c:pt idx="974">
                  <c:v>3.3722249924132499</c:v>
                </c:pt>
                <c:pt idx="975">
                  <c:v>3.2912111623138078</c:v>
                </c:pt>
                <c:pt idx="976">
                  <c:v>1.9283049242655614</c:v>
                </c:pt>
                <c:pt idx="977">
                  <c:v>2.0215878560436851</c:v>
                </c:pt>
                <c:pt idx="978">
                  <c:v>2.3217274111725525</c:v>
                </c:pt>
                <c:pt idx="979">
                  <c:v>4.9879928047773463</c:v>
                </c:pt>
                <c:pt idx="980">
                  <c:v>2.7078262766408581</c:v>
                </c:pt>
                <c:pt idx="981">
                  <c:v>2.1013161000401981</c:v>
                </c:pt>
                <c:pt idx="982">
                  <c:v>2.603406052483463</c:v>
                </c:pt>
                <c:pt idx="983">
                  <c:v>3.4938412002198542</c:v>
                </c:pt>
                <c:pt idx="984">
                  <c:v>2.3786740645168165</c:v>
                </c:pt>
                <c:pt idx="985">
                  <c:v>2.5625667401738577</c:v>
                </c:pt>
                <c:pt idx="986">
                  <c:v>1.9937265562551165</c:v>
                </c:pt>
                <c:pt idx="987">
                  <c:v>3.4137278085446687</c:v>
                </c:pt>
                <c:pt idx="988">
                  <c:v>5.3884444235396751</c:v>
                </c:pt>
                <c:pt idx="989">
                  <c:v>3.1281613809246571</c:v>
                </c:pt>
                <c:pt idx="990">
                  <c:v>2.5972280817062208</c:v>
                </c:pt>
                <c:pt idx="991">
                  <c:v>2.338309646243931</c:v>
                </c:pt>
                <c:pt idx="992">
                  <c:v>2.2830732208805431</c:v>
                </c:pt>
                <c:pt idx="993">
                  <c:v>2.5562474666906581</c:v>
                </c:pt>
                <c:pt idx="994">
                  <c:v>4.9556198763310579</c:v>
                </c:pt>
                <c:pt idx="995">
                  <c:v>3.0901085367384269</c:v>
                </c:pt>
                <c:pt idx="996">
                  <c:v>1.9364189344378446</c:v>
                </c:pt>
                <c:pt idx="997">
                  <c:v>2.8011735665976749</c:v>
                </c:pt>
                <c:pt idx="998">
                  <c:v>4.6712568784754005</c:v>
                </c:pt>
                <c:pt idx="999">
                  <c:v>3.0485035821573008</c:v>
                </c:pt>
              </c:numCache>
            </c:numRef>
          </c:xVal>
          <c:yVal>
            <c:numRef>
              <c:f>Solutions!$B$44:$B$1043</c:f>
              <c:numCache>
                <c:formatCode>0.00000</c:formatCode>
                <c:ptCount val="1000"/>
                <c:pt idx="0">
                  <c:v>0.5286432696452783</c:v>
                </c:pt>
                <c:pt idx="1">
                  <c:v>0.59622897240321859</c:v>
                </c:pt>
                <c:pt idx="2">
                  <c:v>0.3280003908495292</c:v>
                </c:pt>
                <c:pt idx="3">
                  <c:v>0.14587406176934897</c:v>
                </c:pt>
                <c:pt idx="4">
                  <c:v>0.50444680071849013</c:v>
                </c:pt>
                <c:pt idx="5">
                  <c:v>0.20184976617859765</c:v>
                </c:pt>
                <c:pt idx="6">
                  <c:v>0.49556884723061628</c:v>
                </c:pt>
                <c:pt idx="7">
                  <c:v>0.32748553881826814</c:v>
                </c:pt>
                <c:pt idx="8">
                  <c:v>0.78544559267457348</c:v>
                </c:pt>
                <c:pt idx="9">
                  <c:v>0.63514798898678193</c:v>
                </c:pt>
                <c:pt idx="10">
                  <c:v>0.41533950945042297</c:v>
                </c:pt>
                <c:pt idx="11">
                  <c:v>0.19081469687761651</c:v>
                </c:pt>
                <c:pt idx="12">
                  <c:v>0.55761094638093911</c:v>
                </c:pt>
                <c:pt idx="13">
                  <c:v>0.47355739512545891</c:v>
                </c:pt>
                <c:pt idx="14">
                  <c:v>0.4704842842417849</c:v>
                </c:pt>
                <c:pt idx="15">
                  <c:v>0.48151235489812733</c:v>
                </c:pt>
                <c:pt idx="16">
                  <c:v>0.39295780247149226</c:v>
                </c:pt>
                <c:pt idx="17">
                  <c:v>0.68911341964365558</c:v>
                </c:pt>
                <c:pt idx="18">
                  <c:v>0.42138872811663508</c:v>
                </c:pt>
                <c:pt idx="19">
                  <c:v>0.35103017382543011</c:v>
                </c:pt>
                <c:pt idx="20">
                  <c:v>0.20009272940117787</c:v>
                </c:pt>
                <c:pt idx="21">
                  <c:v>0.81177258204381497</c:v>
                </c:pt>
                <c:pt idx="22">
                  <c:v>0.72466493865654646</c:v>
                </c:pt>
                <c:pt idx="23">
                  <c:v>0.21261199930859906</c:v>
                </c:pt>
                <c:pt idx="24">
                  <c:v>0.73153569299055965</c:v>
                </c:pt>
                <c:pt idx="25">
                  <c:v>0.43625713193515919</c:v>
                </c:pt>
                <c:pt idx="26">
                  <c:v>0.30052556946808462</c:v>
                </c:pt>
                <c:pt idx="27">
                  <c:v>0.6257920550982623</c:v>
                </c:pt>
                <c:pt idx="28">
                  <c:v>0.57365298628687666</c:v>
                </c:pt>
                <c:pt idx="29">
                  <c:v>0.27296270471622242</c:v>
                </c:pt>
                <c:pt idx="30">
                  <c:v>0.47928518745510246</c:v>
                </c:pt>
                <c:pt idx="31">
                  <c:v>0.60955896203324011</c:v>
                </c:pt>
                <c:pt idx="32">
                  <c:v>0.65614207581700446</c:v>
                </c:pt>
                <c:pt idx="33">
                  <c:v>0.30115612071508185</c:v>
                </c:pt>
                <c:pt idx="34">
                  <c:v>0.23733205031503782</c:v>
                </c:pt>
                <c:pt idx="35">
                  <c:v>0.6720618128792285</c:v>
                </c:pt>
                <c:pt idx="36">
                  <c:v>0.6015721946719057</c:v>
                </c:pt>
                <c:pt idx="37">
                  <c:v>0.29963525673968477</c:v>
                </c:pt>
                <c:pt idx="38">
                  <c:v>0.48155159303575462</c:v>
                </c:pt>
                <c:pt idx="39">
                  <c:v>0.69832909203181714</c:v>
                </c:pt>
                <c:pt idx="40">
                  <c:v>0.44352860983257947</c:v>
                </c:pt>
                <c:pt idx="41">
                  <c:v>0.49608426530775146</c:v>
                </c:pt>
                <c:pt idx="42">
                  <c:v>0.16106928793689906</c:v>
                </c:pt>
                <c:pt idx="43">
                  <c:v>0.60568709352673777</c:v>
                </c:pt>
                <c:pt idx="44">
                  <c:v>0.53202703343847768</c:v>
                </c:pt>
                <c:pt idx="45">
                  <c:v>0.49845975987055835</c:v>
                </c:pt>
                <c:pt idx="46">
                  <c:v>0.45691119495578469</c:v>
                </c:pt>
                <c:pt idx="47">
                  <c:v>0.70889772848339094</c:v>
                </c:pt>
                <c:pt idx="48">
                  <c:v>0.27173684852756375</c:v>
                </c:pt>
                <c:pt idx="49">
                  <c:v>0.22703749795864994</c:v>
                </c:pt>
                <c:pt idx="50">
                  <c:v>0.42970901893075492</c:v>
                </c:pt>
                <c:pt idx="51">
                  <c:v>0.30480997917400865</c:v>
                </c:pt>
                <c:pt idx="52">
                  <c:v>0.33488835442029585</c:v>
                </c:pt>
                <c:pt idx="53">
                  <c:v>0.67215752829564979</c:v>
                </c:pt>
                <c:pt idx="54">
                  <c:v>0.5423121130905354</c:v>
                </c:pt>
                <c:pt idx="55">
                  <c:v>0.52518284073046784</c:v>
                </c:pt>
                <c:pt idx="56">
                  <c:v>0.21693930301366096</c:v>
                </c:pt>
                <c:pt idx="57">
                  <c:v>0.39630066356682675</c:v>
                </c:pt>
                <c:pt idx="58">
                  <c:v>0.42293495494135391</c:v>
                </c:pt>
                <c:pt idx="59">
                  <c:v>0.19014804366190924</c:v>
                </c:pt>
                <c:pt idx="60">
                  <c:v>0.41947772529616906</c:v>
                </c:pt>
                <c:pt idx="61">
                  <c:v>0.63395578861338853</c:v>
                </c:pt>
                <c:pt idx="62">
                  <c:v>0.13362520740702463</c:v>
                </c:pt>
                <c:pt idx="63">
                  <c:v>0.51309022100510637</c:v>
                </c:pt>
                <c:pt idx="64">
                  <c:v>0.76500726167056443</c:v>
                </c:pt>
                <c:pt idx="65">
                  <c:v>0.28631086461831656</c:v>
                </c:pt>
                <c:pt idx="66">
                  <c:v>0.52200468244342069</c:v>
                </c:pt>
                <c:pt idx="67">
                  <c:v>0.25517915019687387</c:v>
                </c:pt>
                <c:pt idx="68">
                  <c:v>0.57524545018912709</c:v>
                </c:pt>
                <c:pt idx="69">
                  <c:v>0.20675291251184194</c:v>
                </c:pt>
                <c:pt idx="70">
                  <c:v>0.4562958318615627</c:v>
                </c:pt>
                <c:pt idx="71">
                  <c:v>0.62155685171081865</c:v>
                </c:pt>
                <c:pt idx="72">
                  <c:v>0.67171144239581237</c:v>
                </c:pt>
                <c:pt idx="73">
                  <c:v>0.67229169263638311</c:v>
                </c:pt>
                <c:pt idx="74">
                  <c:v>0.76123854903983368</c:v>
                </c:pt>
                <c:pt idx="75">
                  <c:v>0.5631857338742644</c:v>
                </c:pt>
                <c:pt idx="76">
                  <c:v>0.50647948294968725</c:v>
                </c:pt>
                <c:pt idx="77">
                  <c:v>0.3334857783705405</c:v>
                </c:pt>
                <c:pt idx="78">
                  <c:v>0.64743413900161806</c:v>
                </c:pt>
                <c:pt idx="79">
                  <c:v>0.19406639106624926</c:v>
                </c:pt>
                <c:pt idx="80">
                  <c:v>0.63775226050845346</c:v>
                </c:pt>
                <c:pt idx="81">
                  <c:v>0.36151477476957067</c:v>
                </c:pt>
                <c:pt idx="82">
                  <c:v>0.43026606050404098</c:v>
                </c:pt>
                <c:pt idx="83">
                  <c:v>0.19246404955955806</c:v>
                </c:pt>
                <c:pt idx="84">
                  <c:v>0.26690848871714423</c:v>
                </c:pt>
                <c:pt idx="85">
                  <c:v>0.43746243085838754</c:v>
                </c:pt>
                <c:pt idx="86">
                  <c:v>0.64499137820752939</c:v>
                </c:pt>
                <c:pt idx="87">
                  <c:v>0.73770542455058286</c:v>
                </c:pt>
                <c:pt idx="88">
                  <c:v>0.55497903475199206</c:v>
                </c:pt>
                <c:pt idx="89">
                  <c:v>0.7535109815686859</c:v>
                </c:pt>
                <c:pt idx="90">
                  <c:v>0.54860737832026218</c:v>
                </c:pt>
                <c:pt idx="91">
                  <c:v>0.6190494299105006</c:v>
                </c:pt>
                <c:pt idx="92">
                  <c:v>0.60974271777557365</c:v>
                </c:pt>
                <c:pt idx="93">
                  <c:v>0.746988819553001</c:v>
                </c:pt>
                <c:pt idx="94">
                  <c:v>0.18689122812875542</c:v>
                </c:pt>
                <c:pt idx="95">
                  <c:v>0.39184348190796059</c:v>
                </c:pt>
                <c:pt idx="96">
                  <c:v>0.52885916133567146</c:v>
                </c:pt>
                <c:pt idx="97">
                  <c:v>0.48478138303006946</c:v>
                </c:pt>
                <c:pt idx="98">
                  <c:v>0.46810682567225781</c:v>
                </c:pt>
                <c:pt idx="99">
                  <c:v>0.65103480875781028</c:v>
                </c:pt>
                <c:pt idx="100">
                  <c:v>0.5118551061181279</c:v>
                </c:pt>
                <c:pt idx="101">
                  <c:v>0.6853396877536887</c:v>
                </c:pt>
                <c:pt idx="102">
                  <c:v>0.43721372838221745</c:v>
                </c:pt>
                <c:pt idx="103">
                  <c:v>0.55051775090920052</c:v>
                </c:pt>
                <c:pt idx="104">
                  <c:v>0.45020434827744649</c:v>
                </c:pt>
                <c:pt idx="105">
                  <c:v>0.32001399073856462</c:v>
                </c:pt>
                <c:pt idx="106">
                  <c:v>0.42379153472571052</c:v>
                </c:pt>
                <c:pt idx="107">
                  <c:v>0.62292004671671453</c:v>
                </c:pt>
                <c:pt idx="108">
                  <c:v>0.48603635015673741</c:v>
                </c:pt>
                <c:pt idx="109">
                  <c:v>0.28673721555137849</c:v>
                </c:pt>
                <c:pt idx="110">
                  <c:v>0.32518469538688205</c:v>
                </c:pt>
                <c:pt idx="111">
                  <c:v>0.33688939294304221</c:v>
                </c:pt>
                <c:pt idx="112">
                  <c:v>0.62960644054296355</c:v>
                </c:pt>
                <c:pt idx="113">
                  <c:v>0.4650593609057308</c:v>
                </c:pt>
                <c:pt idx="114">
                  <c:v>0.43860067847252054</c:v>
                </c:pt>
                <c:pt idx="115">
                  <c:v>0.2491281025125725</c:v>
                </c:pt>
                <c:pt idx="116">
                  <c:v>0.25463754761634866</c:v>
                </c:pt>
                <c:pt idx="117">
                  <c:v>0.49221794236792527</c:v>
                </c:pt>
                <c:pt idx="118">
                  <c:v>0.60283034764304022</c:v>
                </c:pt>
                <c:pt idx="119">
                  <c:v>0.68521190648582608</c:v>
                </c:pt>
                <c:pt idx="120">
                  <c:v>0.41045430672490202</c:v>
                </c:pt>
                <c:pt idx="121">
                  <c:v>0.17709811257846347</c:v>
                </c:pt>
                <c:pt idx="122">
                  <c:v>0.47154192025936165</c:v>
                </c:pt>
                <c:pt idx="123">
                  <c:v>0.3530465500667716</c:v>
                </c:pt>
                <c:pt idx="124">
                  <c:v>0.47904195311430919</c:v>
                </c:pt>
                <c:pt idx="125">
                  <c:v>0.3460158532004684</c:v>
                </c:pt>
                <c:pt idx="126">
                  <c:v>0.75386320313084654</c:v>
                </c:pt>
                <c:pt idx="127">
                  <c:v>0.46021292811140541</c:v>
                </c:pt>
                <c:pt idx="128">
                  <c:v>0.15767847782166042</c:v>
                </c:pt>
                <c:pt idx="129">
                  <c:v>0.54534916985527171</c:v>
                </c:pt>
                <c:pt idx="130">
                  <c:v>0.51590694403975013</c:v>
                </c:pt>
                <c:pt idx="131">
                  <c:v>0.56722234143131567</c:v>
                </c:pt>
                <c:pt idx="132">
                  <c:v>0.63733181049858745</c:v>
                </c:pt>
                <c:pt idx="133">
                  <c:v>0.44664800228496232</c:v>
                </c:pt>
                <c:pt idx="134">
                  <c:v>0.74841064669359558</c:v>
                </c:pt>
                <c:pt idx="135">
                  <c:v>0.58454809675372488</c:v>
                </c:pt>
                <c:pt idx="136">
                  <c:v>0.38345097667711325</c:v>
                </c:pt>
                <c:pt idx="137">
                  <c:v>0.23896640492830989</c:v>
                </c:pt>
                <c:pt idx="138">
                  <c:v>0.57688979977117916</c:v>
                </c:pt>
                <c:pt idx="139">
                  <c:v>0.36720839729485477</c:v>
                </c:pt>
                <c:pt idx="140">
                  <c:v>0.38666865428790365</c:v>
                </c:pt>
                <c:pt idx="141">
                  <c:v>0.53901562921421098</c:v>
                </c:pt>
                <c:pt idx="142">
                  <c:v>0.67753780062655122</c:v>
                </c:pt>
                <c:pt idx="143">
                  <c:v>0.37551117326309469</c:v>
                </c:pt>
                <c:pt idx="144">
                  <c:v>0.39718796759794811</c:v>
                </c:pt>
                <c:pt idx="145">
                  <c:v>0.54872674118159015</c:v>
                </c:pt>
                <c:pt idx="146">
                  <c:v>0.76842504540770995</c:v>
                </c:pt>
                <c:pt idx="147">
                  <c:v>0.49366571192932496</c:v>
                </c:pt>
                <c:pt idx="148">
                  <c:v>0.66215809564782102</c:v>
                </c:pt>
                <c:pt idx="149">
                  <c:v>0.41577825404892771</c:v>
                </c:pt>
                <c:pt idx="150">
                  <c:v>0.78572875651605467</c:v>
                </c:pt>
                <c:pt idx="151">
                  <c:v>0.41535432271426148</c:v>
                </c:pt>
                <c:pt idx="152">
                  <c:v>0.62700743549595583</c:v>
                </c:pt>
                <c:pt idx="153">
                  <c:v>0.51332781380023884</c:v>
                </c:pt>
                <c:pt idx="154">
                  <c:v>0.42982502297600583</c:v>
                </c:pt>
                <c:pt idx="155">
                  <c:v>0.60373058549815273</c:v>
                </c:pt>
                <c:pt idx="156">
                  <c:v>0.21263277427876887</c:v>
                </c:pt>
                <c:pt idx="157">
                  <c:v>0.50389668207456917</c:v>
                </c:pt>
                <c:pt idx="158">
                  <c:v>0.80045591408737848</c:v>
                </c:pt>
                <c:pt idx="159">
                  <c:v>0.48411072091751772</c:v>
                </c:pt>
                <c:pt idx="160">
                  <c:v>0.51971056480446454</c:v>
                </c:pt>
                <c:pt idx="161">
                  <c:v>0.32606266270223982</c:v>
                </c:pt>
                <c:pt idx="162">
                  <c:v>0.43248868772951649</c:v>
                </c:pt>
                <c:pt idx="163">
                  <c:v>0.63743458821020504</c:v>
                </c:pt>
                <c:pt idx="164">
                  <c:v>0.62364785429849734</c:v>
                </c:pt>
                <c:pt idx="165">
                  <c:v>0.33855783201556189</c:v>
                </c:pt>
                <c:pt idx="166">
                  <c:v>0.36089357218040019</c:v>
                </c:pt>
                <c:pt idx="167">
                  <c:v>0.28034539857667556</c:v>
                </c:pt>
                <c:pt idx="168">
                  <c:v>0.56359804583586848</c:v>
                </c:pt>
                <c:pt idx="169">
                  <c:v>0.34961640408528843</c:v>
                </c:pt>
                <c:pt idx="170">
                  <c:v>0.40136496290957069</c:v>
                </c:pt>
                <c:pt idx="171">
                  <c:v>0.55696671491337701</c:v>
                </c:pt>
                <c:pt idx="172">
                  <c:v>0.66802445013918565</c:v>
                </c:pt>
                <c:pt idx="173">
                  <c:v>0.54445772148576399</c:v>
                </c:pt>
                <c:pt idx="174">
                  <c:v>0.82255197437143834</c:v>
                </c:pt>
                <c:pt idx="175">
                  <c:v>0.45881639081960945</c:v>
                </c:pt>
                <c:pt idx="176">
                  <c:v>0.33034806708186454</c:v>
                </c:pt>
                <c:pt idx="177">
                  <c:v>0.36436833211887942</c:v>
                </c:pt>
                <c:pt idx="178">
                  <c:v>0.56992238784424298</c:v>
                </c:pt>
                <c:pt idx="179">
                  <c:v>0.24410753381194092</c:v>
                </c:pt>
                <c:pt idx="180">
                  <c:v>0.35770917085834919</c:v>
                </c:pt>
                <c:pt idx="181">
                  <c:v>0.32843797463755714</c:v>
                </c:pt>
                <c:pt idx="182">
                  <c:v>0.27477291200009596</c:v>
                </c:pt>
                <c:pt idx="183">
                  <c:v>0.68679306876044566</c:v>
                </c:pt>
                <c:pt idx="184">
                  <c:v>0.75224604557260699</c:v>
                </c:pt>
                <c:pt idx="185">
                  <c:v>0.55581660568191671</c:v>
                </c:pt>
                <c:pt idx="186">
                  <c:v>0.41020732621188405</c:v>
                </c:pt>
                <c:pt idx="187">
                  <c:v>0.61997387409033344</c:v>
                </c:pt>
                <c:pt idx="188">
                  <c:v>0.77188732528533255</c:v>
                </c:pt>
                <c:pt idx="189">
                  <c:v>0.38743332928356145</c:v>
                </c:pt>
                <c:pt idx="190">
                  <c:v>0.40651265622354371</c:v>
                </c:pt>
                <c:pt idx="191">
                  <c:v>0.43182810126769494</c:v>
                </c:pt>
                <c:pt idx="192">
                  <c:v>0.35372428774952575</c:v>
                </c:pt>
                <c:pt idx="193">
                  <c:v>0.63807221011209436</c:v>
                </c:pt>
                <c:pt idx="194">
                  <c:v>0.75069952783797433</c:v>
                </c:pt>
                <c:pt idx="195">
                  <c:v>0.42499069270298534</c:v>
                </c:pt>
                <c:pt idx="196">
                  <c:v>0.26939280870193805</c:v>
                </c:pt>
                <c:pt idx="197">
                  <c:v>0.58960925244534246</c:v>
                </c:pt>
                <c:pt idx="198">
                  <c:v>0.40406656947306036</c:v>
                </c:pt>
                <c:pt idx="199">
                  <c:v>0.60938254508038159</c:v>
                </c:pt>
                <c:pt idx="200">
                  <c:v>0.39351183299438136</c:v>
                </c:pt>
                <c:pt idx="201">
                  <c:v>0.64023697577514704</c:v>
                </c:pt>
                <c:pt idx="202">
                  <c:v>0.73157846068369836</c:v>
                </c:pt>
                <c:pt idx="203">
                  <c:v>0.29190588665788492</c:v>
                </c:pt>
                <c:pt idx="204">
                  <c:v>0.64267448569263042</c:v>
                </c:pt>
                <c:pt idx="205">
                  <c:v>0.60381547656304957</c:v>
                </c:pt>
                <c:pt idx="206">
                  <c:v>0.13980495750114685</c:v>
                </c:pt>
                <c:pt idx="207">
                  <c:v>0.32580350804547087</c:v>
                </c:pt>
                <c:pt idx="208">
                  <c:v>0.49447181252103128</c:v>
                </c:pt>
                <c:pt idx="209">
                  <c:v>0.56316790362715274</c:v>
                </c:pt>
                <c:pt idx="210">
                  <c:v>0.17743714763061375</c:v>
                </c:pt>
                <c:pt idx="211">
                  <c:v>0.59659224161020541</c:v>
                </c:pt>
                <c:pt idx="212">
                  <c:v>0.50055695432496317</c:v>
                </c:pt>
                <c:pt idx="213">
                  <c:v>0.44125784460221057</c:v>
                </c:pt>
                <c:pt idx="214">
                  <c:v>0.38322407191481533</c:v>
                </c:pt>
                <c:pt idx="215">
                  <c:v>0.15621775445051245</c:v>
                </c:pt>
                <c:pt idx="216">
                  <c:v>0.47870602213007346</c:v>
                </c:pt>
                <c:pt idx="217">
                  <c:v>0.42804264910856554</c:v>
                </c:pt>
                <c:pt idx="218">
                  <c:v>0.41699729814983066</c:v>
                </c:pt>
                <c:pt idx="219">
                  <c:v>0.64340321750029494</c:v>
                </c:pt>
                <c:pt idx="220">
                  <c:v>0.38513840912914249</c:v>
                </c:pt>
                <c:pt idx="221">
                  <c:v>0.56716580170856568</c:v>
                </c:pt>
                <c:pt idx="222">
                  <c:v>0.51781575793530021</c:v>
                </c:pt>
                <c:pt idx="223">
                  <c:v>0.77176901236941786</c:v>
                </c:pt>
                <c:pt idx="224">
                  <c:v>0.63743766475026675</c:v>
                </c:pt>
                <c:pt idx="225">
                  <c:v>0.48584596578578748</c:v>
                </c:pt>
                <c:pt idx="226">
                  <c:v>0.50940514831652894</c:v>
                </c:pt>
                <c:pt idx="227">
                  <c:v>0.36726623105268358</c:v>
                </c:pt>
                <c:pt idx="228">
                  <c:v>0.68375285170932454</c:v>
                </c:pt>
                <c:pt idx="229">
                  <c:v>0.27268841294015067</c:v>
                </c:pt>
                <c:pt idx="230">
                  <c:v>0.16643472425244724</c:v>
                </c:pt>
                <c:pt idx="231">
                  <c:v>0.73208922404869714</c:v>
                </c:pt>
                <c:pt idx="232">
                  <c:v>0.32361866180712878</c:v>
                </c:pt>
                <c:pt idx="233">
                  <c:v>0.42239121479193342</c:v>
                </c:pt>
                <c:pt idx="234">
                  <c:v>0.48921796207976687</c:v>
                </c:pt>
                <c:pt idx="235">
                  <c:v>0.6351982338137474</c:v>
                </c:pt>
                <c:pt idx="236">
                  <c:v>0.46915267369439728</c:v>
                </c:pt>
                <c:pt idx="237">
                  <c:v>0.60023670108764171</c:v>
                </c:pt>
                <c:pt idx="238">
                  <c:v>0.49693109212722303</c:v>
                </c:pt>
                <c:pt idx="239">
                  <c:v>0.34125481328884233</c:v>
                </c:pt>
                <c:pt idx="240">
                  <c:v>0.51911140337432038</c:v>
                </c:pt>
                <c:pt idx="241">
                  <c:v>0.32564452759296397</c:v>
                </c:pt>
                <c:pt idx="242">
                  <c:v>0.56455169487714818</c:v>
                </c:pt>
                <c:pt idx="243">
                  <c:v>0.66206268331716223</c:v>
                </c:pt>
                <c:pt idx="244">
                  <c:v>0.43082004003925639</c:v>
                </c:pt>
                <c:pt idx="245">
                  <c:v>0.43409603782208245</c:v>
                </c:pt>
                <c:pt idx="246">
                  <c:v>0.16527574871822451</c:v>
                </c:pt>
                <c:pt idx="247">
                  <c:v>0.52472420950448062</c:v>
                </c:pt>
                <c:pt idx="248">
                  <c:v>0.47316805037643328</c:v>
                </c:pt>
                <c:pt idx="249">
                  <c:v>0.37304265495652789</c:v>
                </c:pt>
                <c:pt idx="250">
                  <c:v>0.46700507342860781</c:v>
                </c:pt>
                <c:pt idx="251">
                  <c:v>0.2351486225616474</c:v>
                </c:pt>
                <c:pt idx="252">
                  <c:v>0.72331338790340749</c:v>
                </c:pt>
                <c:pt idx="253">
                  <c:v>0.40573097809111802</c:v>
                </c:pt>
                <c:pt idx="254">
                  <c:v>0.5157848768109905</c:v>
                </c:pt>
                <c:pt idx="255">
                  <c:v>0.47330248115895407</c:v>
                </c:pt>
                <c:pt idx="256">
                  <c:v>0.49879059306581025</c:v>
                </c:pt>
                <c:pt idx="257">
                  <c:v>0.73964311681215889</c:v>
                </c:pt>
                <c:pt idx="258">
                  <c:v>0.40689228882111805</c:v>
                </c:pt>
                <c:pt idx="259">
                  <c:v>0.20949062783128802</c:v>
                </c:pt>
                <c:pt idx="260">
                  <c:v>0.43443622895376033</c:v>
                </c:pt>
                <c:pt idx="261">
                  <c:v>0.42274635921875331</c:v>
                </c:pt>
                <c:pt idx="262">
                  <c:v>0.19976197933793988</c:v>
                </c:pt>
                <c:pt idx="263">
                  <c:v>0.2437494101878985</c:v>
                </c:pt>
                <c:pt idx="264">
                  <c:v>0.50685573677310203</c:v>
                </c:pt>
                <c:pt idx="265">
                  <c:v>0.58042838930785057</c:v>
                </c:pt>
                <c:pt idx="266">
                  <c:v>0.50919810177616953</c:v>
                </c:pt>
                <c:pt idx="267">
                  <c:v>0.53012855229540201</c:v>
                </c:pt>
                <c:pt idx="268">
                  <c:v>0.70120767552958929</c:v>
                </c:pt>
                <c:pt idx="269">
                  <c:v>0.26993677574610991</c:v>
                </c:pt>
                <c:pt idx="270">
                  <c:v>0.44130720751593117</c:v>
                </c:pt>
                <c:pt idx="271">
                  <c:v>0.36616132614156077</c:v>
                </c:pt>
                <c:pt idx="272">
                  <c:v>0.79777628260300959</c:v>
                </c:pt>
                <c:pt idx="273">
                  <c:v>0.56482668944107872</c:v>
                </c:pt>
                <c:pt idx="274">
                  <c:v>0.31060026414894948</c:v>
                </c:pt>
                <c:pt idx="275">
                  <c:v>0.47360687567950821</c:v>
                </c:pt>
                <c:pt idx="276">
                  <c:v>0.81237497965892824</c:v>
                </c:pt>
                <c:pt idx="277">
                  <c:v>0.41581004560122259</c:v>
                </c:pt>
                <c:pt idx="278">
                  <c:v>0.14010290945727277</c:v>
                </c:pt>
                <c:pt idx="279">
                  <c:v>0.27262473842780705</c:v>
                </c:pt>
                <c:pt idx="280">
                  <c:v>0.4241494635173787</c:v>
                </c:pt>
                <c:pt idx="281">
                  <c:v>0.42800942270767917</c:v>
                </c:pt>
                <c:pt idx="282">
                  <c:v>0.57893076742412664</c:v>
                </c:pt>
                <c:pt idx="283">
                  <c:v>0.44365894490415858</c:v>
                </c:pt>
                <c:pt idx="284">
                  <c:v>0.56320838639259962</c:v>
                </c:pt>
                <c:pt idx="285">
                  <c:v>0.69777889522874947</c:v>
                </c:pt>
                <c:pt idx="286">
                  <c:v>0.42236732846196423</c:v>
                </c:pt>
                <c:pt idx="287">
                  <c:v>0.52769925449144528</c:v>
                </c:pt>
                <c:pt idx="288">
                  <c:v>0.44336922525213612</c:v>
                </c:pt>
                <c:pt idx="289">
                  <c:v>0.37172358522293042</c:v>
                </c:pt>
                <c:pt idx="290">
                  <c:v>0.48720735276667138</c:v>
                </c:pt>
                <c:pt idx="291">
                  <c:v>0.68291166278644866</c:v>
                </c:pt>
                <c:pt idx="292">
                  <c:v>0.77004062773437343</c:v>
                </c:pt>
                <c:pt idx="293">
                  <c:v>0.27700662403113352</c:v>
                </c:pt>
                <c:pt idx="294">
                  <c:v>0.68093904162374486</c:v>
                </c:pt>
                <c:pt idx="295">
                  <c:v>0.43698918280985954</c:v>
                </c:pt>
                <c:pt idx="296">
                  <c:v>0.6764134110212966</c:v>
                </c:pt>
                <c:pt idx="297">
                  <c:v>0.31639058941078535</c:v>
                </c:pt>
                <c:pt idx="298">
                  <c:v>0.45434488497259184</c:v>
                </c:pt>
                <c:pt idx="299">
                  <c:v>0.62689293118028988</c:v>
                </c:pt>
                <c:pt idx="300">
                  <c:v>0.5042141604935233</c:v>
                </c:pt>
                <c:pt idx="301">
                  <c:v>0.68941148896002491</c:v>
                </c:pt>
                <c:pt idx="302">
                  <c:v>0.40513622461123383</c:v>
                </c:pt>
                <c:pt idx="303">
                  <c:v>0.57420475390154557</c:v>
                </c:pt>
                <c:pt idx="304">
                  <c:v>0.46577029630820593</c:v>
                </c:pt>
                <c:pt idx="305">
                  <c:v>0.61631345518573255</c:v>
                </c:pt>
                <c:pt idx="306">
                  <c:v>0.43225475134545549</c:v>
                </c:pt>
                <c:pt idx="307">
                  <c:v>0.55076257769566006</c:v>
                </c:pt>
                <c:pt idx="308">
                  <c:v>0.32360820149518205</c:v>
                </c:pt>
                <c:pt idx="309">
                  <c:v>0.52101090261565108</c:v>
                </c:pt>
                <c:pt idx="310">
                  <c:v>0.43869157005019499</c:v>
                </c:pt>
                <c:pt idx="311">
                  <c:v>0.44433418735922475</c:v>
                </c:pt>
                <c:pt idx="312">
                  <c:v>0.1719634973359189</c:v>
                </c:pt>
                <c:pt idx="313">
                  <c:v>0.63694384945505489</c:v>
                </c:pt>
                <c:pt idx="314">
                  <c:v>0.28326832014745251</c:v>
                </c:pt>
                <c:pt idx="315">
                  <c:v>0.60746970854996052</c:v>
                </c:pt>
                <c:pt idx="316">
                  <c:v>0.37996926636303685</c:v>
                </c:pt>
                <c:pt idx="317">
                  <c:v>0.39540166348566003</c:v>
                </c:pt>
                <c:pt idx="318">
                  <c:v>0.65043225294096785</c:v>
                </c:pt>
                <c:pt idx="319">
                  <c:v>0.66171218896482997</c:v>
                </c:pt>
                <c:pt idx="320">
                  <c:v>0.67159583690939562</c:v>
                </c:pt>
                <c:pt idx="321">
                  <c:v>0.59733572062413887</c:v>
                </c:pt>
                <c:pt idx="322">
                  <c:v>0.63847735555569562</c:v>
                </c:pt>
                <c:pt idx="323">
                  <c:v>0.70268944279748258</c:v>
                </c:pt>
                <c:pt idx="324">
                  <c:v>0.69209010691379103</c:v>
                </c:pt>
                <c:pt idx="325">
                  <c:v>0.49528996369585565</c:v>
                </c:pt>
                <c:pt idx="326">
                  <c:v>0.79407739354279228</c:v>
                </c:pt>
                <c:pt idx="327">
                  <c:v>0.62007280546871235</c:v>
                </c:pt>
                <c:pt idx="328">
                  <c:v>0.34213264416052197</c:v>
                </c:pt>
                <c:pt idx="329">
                  <c:v>0.40704511377278868</c:v>
                </c:pt>
                <c:pt idx="330">
                  <c:v>0.54916958039393671</c:v>
                </c:pt>
                <c:pt idx="331">
                  <c:v>0.66186112461211044</c:v>
                </c:pt>
                <c:pt idx="332">
                  <c:v>0.64632974347524097</c:v>
                </c:pt>
                <c:pt idx="333">
                  <c:v>0.48135645156683998</c:v>
                </c:pt>
                <c:pt idx="334">
                  <c:v>0.49262637301410767</c:v>
                </c:pt>
                <c:pt idx="335">
                  <c:v>0.46282550394346816</c:v>
                </c:pt>
                <c:pt idx="336">
                  <c:v>0.3550876424012725</c:v>
                </c:pt>
                <c:pt idx="337">
                  <c:v>0.46229431109478214</c:v>
                </c:pt>
                <c:pt idx="338">
                  <c:v>0.4136206744983475</c:v>
                </c:pt>
                <c:pt idx="339">
                  <c:v>0.31730829365954183</c:v>
                </c:pt>
                <c:pt idx="340">
                  <c:v>0.46020405763927669</c:v>
                </c:pt>
                <c:pt idx="341">
                  <c:v>0.78278142974829679</c:v>
                </c:pt>
                <c:pt idx="342">
                  <c:v>0.64208218929225658</c:v>
                </c:pt>
                <c:pt idx="343">
                  <c:v>0.69577991989892929</c:v>
                </c:pt>
                <c:pt idx="344">
                  <c:v>0.37303343174155762</c:v>
                </c:pt>
                <c:pt idx="345">
                  <c:v>0.2266459237272884</c:v>
                </c:pt>
                <c:pt idx="346">
                  <c:v>0.56030931343685131</c:v>
                </c:pt>
                <c:pt idx="347">
                  <c:v>0.5193241890935324</c:v>
                </c:pt>
                <c:pt idx="348">
                  <c:v>0.66566533545415674</c:v>
                </c:pt>
                <c:pt idx="349">
                  <c:v>0.16610784818118962</c:v>
                </c:pt>
                <c:pt idx="350">
                  <c:v>0.19306433083535618</c:v>
                </c:pt>
                <c:pt idx="351">
                  <c:v>0.47664030254597012</c:v>
                </c:pt>
                <c:pt idx="352">
                  <c:v>0.6865181721855782</c:v>
                </c:pt>
                <c:pt idx="353">
                  <c:v>0.37674447518569404</c:v>
                </c:pt>
                <c:pt idx="354">
                  <c:v>0.59753220888188274</c:v>
                </c:pt>
                <c:pt idx="355">
                  <c:v>0.52903308325335441</c:v>
                </c:pt>
                <c:pt idx="356">
                  <c:v>0.29713567485067865</c:v>
                </c:pt>
                <c:pt idx="357">
                  <c:v>0.48236472109312234</c:v>
                </c:pt>
                <c:pt idx="358">
                  <c:v>0.74193957953819445</c:v>
                </c:pt>
                <c:pt idx="359">
                  <c:v>0.64271044585263337</c:v>
                </c:pt>
                <c:pt idx="360">
                  <c:v>0.2534079284537345</c:v>
                </c:pt>
                <c:pt idx="361">
                  <c:v>0.65123315563264828</c:v>
                </c:pt>
                <c:pt idx="362">
                  <c:v>0.57799089149018734</c:v>
                </c:pt>
                <c:pt idx="363">
                  <c:v>0.50187423895811101</c:v>
                </c:pt>
                <c:pt idx="364">
                  <c:v>0.4823952393134745</c:v>
                </c:pt>
                <c:pt idx="365">
                  <c:v>0.41560415533383765</c:v>
                </c:pt>
                <c:pt idx="366">
                  <c:v>0.31403707407980785</c:v>
                </c:pt>
                <c:pt idx="367">
                  <c:v>0.47667252527405307</c:v>
                </c:pt>
                <c:pt idx="368">
                  <c:v>0.5762817498152798</c:v>
                </c:pt>
                <c:pt idx="369">
                  <c:v>0.39959020641064324</c:v>
                </c:pt>
                <c:pt idx="370">
                  <c:v>0.4150142315165336</c:v>
                </c:pt>
                <c:pt idx="371">
                  <c:v>0.31096096377019644</c:v>
                </c:pt>
                <c:pt idx="372">
                  <c:v>0.57092392916265733</c:v>
                </c:pt>
                <c:pt idx="373">
                  <c:v>0.82270005905778509</c:v>
                </c:pt>
                <c:pt idx="374">
                  <c:v>0.55428125730086997</c:v>
                </c:pt>
                <c:pt idx="375">
                  <c:v>0.40870374118514852</c:v>
                </c:pt>
                <c:pt idx="376">
                  <c:v>0.52515228541887204</c:v>
                </c:pt>
                <c:pt idx="377">
                  <c:v>0.73826525440756663</c:v>
                </c:pt>
                <c:pt idx="378">
                  <c:v>0.46946540369660578</c:v>
                </c:pt>
                <c:pt idx="379">
                  <c:v>0.45815075641675407</c:v>
                </c:pt>
                <c:pt idx="380">
                  <c:v>0.75605781135653738</c:v>
                </c:pt>
                <c:pt idx="381">
                  <c:v>0.35827143096400332</c:v>
                </c:pt>
                <c:pt idx="382">
                  <c:v>0.32996283418846972</c:v>
                </c:pt>
                <c:pt idx="383">
                  <c:v>0.35682099506863574</c:v>
                </c:pt>
                <c:pt idx="384">
                  <c:v>0.37013450958441241</c:v>
                </c:pt>
                <c:pt idx="385">
                  <c:v>0.29320489413961115</c:v>
                </c:pt>
                <c:pt idx="386">
                  <c:v>0.69222624451931558</c:v>
                </c:pt>
                <c:pt idx="387">
                  <c:v>0.4833468806447635</c:v>
                </c:pt>
                <c:pt idx="388">
                  <c:v>0.56720200276049082</c:v>
                </c:pt>
                <c:pt idx="389">
                  <c:v>0.54129563474449061</c:v>
                </c:pt>
                <c:pt idx="390">
                  <c:v>0.26922781796696432</c:v>
                </c:pt>
                <c:pt idx="391">
                  <c:v>0.42331022359633808</c:v>
                </c:pt>
                <c:pt idx="392">
                  <c:v>0.73982743629236425</c:v>
                </c:pt>
                <c:pt idx="393">
                  <c:v>0.75987554731145346</c:v>
                </c:pt>
                <c:pt idx="394">
                  <c:v>0.44837024185169039</c:v>
                </c:pt>
                <c:pt idx="395">
                  <c:v>0.2966749771973709</c:v>
                </c:pt>
                <c:pt idx="396">
                  <c:v>0.14679604782148895</c:v>
                </c:pt>
                <c:pt idx="397">
                  <c:v>0.50485925256147701</c:v>
                </c:pt>
                <c:pt idx="398">
                  <c:v>0.16066441165218934</c:v>
                </c:pt>
                <c:pt idx="399">
                  <c:v>0.30162232729269384</c:v>
                </c:pt>
                <c:pt idx="400">
                  <c:v>0.44139004065500242</c:v>
                </c:pt>
                <c:pt idx="401">
                  <c:v>0.46384369474562276</c:v>
                </c:pt>
                <c:pt idx="402">
                  <c:v>0.33075754425542497</c:v>
                </c:pt>
                <c:pt idx="403">
                  <c:v>0.63569388472044153</c:v>
                </c:pt>
                <c:pt idx="404">
                  <c:v>0.47996825839282253</c:v>
                </c:pt>
                <c:pt idx="405">
                  <c:v>0.49113675829953252</c:v>
                </c:pt>
                <c:pt idx="406">
                  <c:v>0.29702110982803126</c:v>
                </c:pt>
                <c:pt idx="407">
                  <c:v>0.5871805315649824</c:v>
                </c:pt>
                <c:pt idx="408">
                  <c:v>0.5225059765319553</c:v>
                </c:pt>
                <c:pt idx="409">
                  <c:v>0.68119013013739049</c:v>
                </c:pt>
                <c:pt idx="410">
                  <c:v>0.72002852208159496</c:v>
                </c:pt>
                <c:pt idx="411">
                  <c:v>0.45529449736725602</c:v>
                </c:pt>
                <c:pt idx="412">
                  <c:v>0.23332369078798559</c:v>
                </c:pt>
                <c:pt idx="413">
                  <c:v>0.47083434822848241</c:v>
                </c:pt>
                <c:pt idx="414">
                  <c:v>0.71584725602281818</c:v>
                </c:pt>
                <c:pt idx="415">
                  <c:v>0.45620245714515273</c:v>
                </c:pt>
                <c:pt idx="416">
                  <c:v>0.22106460427836086</c:v>
                </c:pt>
                <c:pt idx="417">
                  <c:v>0.44393751521111563</c:v>
                </c:pt>
                <c:pt idx="418">
                  <c:v>0.30062182845487995</c:v>
                </c:pt>
                <c:pt idx="419">
                  <c:v>0.61043956171151059</c:v>
                </c:pt>
                <c:pt idx="420">
                  <c:v>0.45938603238106879</c:v>
                </c:pt>
                <c:pt idx="421">
                  <c:v>0.21748479412309352</c:v>
                </c:pt>
                <c:pt idx="422">
                  <c:v>0.35295347769095747</c:v>
                </c:pt>
                <c:pt idx="423">
                  <c:v>0.55772297211308319</c:v>
                </c:pt>
                <c:pt idx="424">
                  <c:v>0.54675239010778753</c:v>
                </c:pt>
                <c:pt idx="425">
                  <c:v>0.52486156256184469</c:v>
                </c:pt>
                <c:pt idx="426">
                  <c:v>0.68448047895631081</c:v>
                </c:pt>
                <c:pt idx="427">
                  <c:v>0.57579070107126529</c:v>
                </c:pt>
                <c:pt idx="428">
                  <c:v>0.39891629594853117</c:v>
                </c:pt>
                <c:pt idx="429">
                  <c:v>0.42192709682329976</c:v>
                </c:pt>
                <c:pt idx="430">
                  <c:v>0.73683694803091659</c:v>
                </c:pt>
                <c:pt idx="431">
                  <c:v>0.43091396562838774</c:v>
                </c:pt>
                <c:pt idx="432">
                  <c:v>0.24449515934379881</c:v>
                </c:pt>
                <c:pt idx="433">
                  <c:v>0.58902026867289403</c:v>
                </c:pt>
                <c:pt idx="434">
                  <c:v>0.17320724636314261</c:v>
                </c:pt>
                <c:pt idx="435">
                  <c:v>0.56380304995716779</c:v>
                </c:pt>
                <c:pt idx="436">
                  <c:v>0.44480226028180447</c:v>
                </c:pt>
                <c:pt idx="437">
                  <c:v>0.74777455568000539</c:v>
                </c:pt>
                <c:pt idx="438">
                  <c:v>0.58796621248854453</c:v>
                </c:pt>
                <c:pt idx="439">
                  <c:v>0.33437453633781627</c:v>
                </c:pt>
                <c:pt idx="440">
                  <c:v>0.4882139501426217</c:v>
                </c:pt>
                <c:pt idx="441">
                  <c:v>0.2651566749668981</c:v>
                </c:pt>
                <c:pt idx="442">
                  <c:v>0.32323518311353239</c:v>
                </c:pt>
                <c:pt idx="443">
                  <c:v>0.49834270032198652</c:v>
                </c:pt>
                <c:pt idx="444">
                  <c:v>0.72713835249548686</c:v>
                </c:pt>
                <c:pt idx="445">
                  <c:v>0.8112321602047976</c:v>
                </c:pt>
                <c:pt idx="446">
                  <c:v>0.45229174130564126</c:v>
                </c:pt>
                <c:pt idx="447">
                  <c:v>0.52891780903421426</c:v>
                </c:pt>
                <c:pt idx="448">
                  <c:v>0.71259096116231246</c:v>
                </c:pt>
                <c:pt idx="449">
                  <c:v>0.50465931691043231</c:v>
                </c:pt>
                <c:pt idx="450">
                  <c:v>0.30617112399972479</c:v>
                </c:pt>
                <c:pt idx="451">
                  <c:v>0.49689042166213543</c:v>
                </c:pt>
                <c:pt idx="452">
                  <c:v>0.22345007060454095</c:v>
                </c:pt>
                <c:pt idx="453">
                  <c:v>0.15956980397504533</c:v>
                </c:pt>
                <c:pt idx="454">
                  <c:v>0.65159194304740931</c:v>
                </c:pt>
                <c:pt idx="455">
                  <c:v>0.59753107213264922</c:v>
                </c:pt>
                <c:pt idx="456">
                  <c:v>0.58168051521460529</c:v>
                </c:pt>
                <c:pt idx="457">
                  <c:v>0.32626982506621727</c:v>
                </c:pt>
                <c:pt idx="458">
                  <c:v>0.51105528355040031</c:v>
                </c:pt>
                <c:pt idx="459">
                  <c:v>0.45179028496296558</c:v>
                </c:pt>
                <c:pt idx="460">
                  <c:v>0.33671682667538927</c:v>
                </c:pt>
                <c:pt idx="461">
                  <c:v>0.5925881824056719</c:v>
                </c:pt>
                <c:pt idx="462">
                  <c:v>0.38538664425865582</c:v>
                </c:pt>
                <c:pt idx="463">
                  <c:v>0.40742217272890213</c:v>
                </c:pt>
                <c:pt idx="464">
                  <c:v>0.58416638601325399</c:v>
                </c:pt>
                <c:pt idx="465">
                  <c:v>0.28218090325746015</c:v>
                </c:pt>
                <c:pt idx="466">
                  <c:v>0.36927397118538186</c:v>
                </c:pt>
                <c:pt idx="467">
                  <c:v>0.5055772118928108</c:v>
                </c:pt>
                <c:pt idx="468">
                  <c:v>0.44738557337803425</c:v>
                </c:pt>
                <c:pt idx="469">
                  <c:v>0.31737149826432615</c:v>
                </c:pt>
                <c:pt idx="470">
                  <c:v>0.40551399308944758</c:v>
                </c:pt>
                <c:pt idx="471">
                  <c:v>0.74509818327299127</c:v>
                </c:pt>
                <c:pt idx="472">
                  <c:v>0.71898593515202835</c:v>
                </c:pt>
                <c:pt idx="473">
                  <c:v>0.3350870064987867</c:v>
                </c:pt>
                <c:pt idx="474">
                  <c:v>0.41691205624520034</c:v>
                </c:pt>
                <c:pt idx="475">
                  <c:v>0.5685026385874915</c:v>
                </c:pt>
                <c:pt idx="476">
                  <c:v>0.51969101781499627</c:v>
                </c:pt>
                <c:pt idx="477">
                  <c:v>0.37545452325077766</c:v>
                </c:pt>
                <c:pt idx="478">
                  <c:v>0.52428376911769503</c:v>
                </c:pt>
                <c:pt idx="479">
                  <c:v>0.50919136836478196</c:v>
                </c:pt>
                <c:pt idx="480">
                  <c:v>0.45689709129582912</c:v>
                </c:pt>
                <c:pt idx="481">
                  <c:v>0.38788406829195621</c:v>
                </c:pt>
                <c:pt idx="482">
                  <c:v>0.33650525625461863</c:v>
                </c:pt>
                <c:pt idx="483">
                  <c:v>0.22960253658401583</c:v>
                </c:pt>
                <c:pt idx="484">
                  <c:v>0.70520370144782718</c:v>
                </c:pt>
                <c:pt idx="485">
                  <c:v>0.50213194332423006</c:v>
                </c:pt>
                <c:pt idx="486">
                  <c:v>0.30115952325446016</c:v>
                </c:pt>
                <c:pt idx="487">
                  <c:v>0.45916738160198789</c:v>
                </c:pt>
                <c:pt idx="488">
                  <c:v>0.38964908338622428</c:v>
                </c:pt>
                <c:pt idx="489">
                  <c:v>0.47850833475502325</c:v>
                </c:pt>
                <c:pt idx="490">
                  <c:v>0.38404947192835442</c:v>
                </c:pt>
                <c:pt idx="491">
                  <c:v>0.53287041448813788</c:v>
                </c:pt>
                <c:pt idx="492">
                  <c:v>0.50120591469960696</c:v>
                </c:pt>
                <c:pt idx="493">
                  <c:v>0.72593476069030094</c:v>
                </c:pt>
                <c:pt idx="494">
                  <c:v>0.50630370954954673</c:v>
                </c:pt>
                <c:pt idx="495">
                  <c:v>0.49644777418445507</c:v>
                </c:pt>
                <c:pt idx="496">
                  <c:v>0.48068658124094116</c:v>
                </c:pt>
                <c:pt idx="497">
                  <c:v>0.40475681222479448</c:v>
                </c:pt>
                <c:pt idx="498">
                  <c:v>0.67089433295539513</c:v>
                </c:pt>
                <c:pt idx="499">
                  <c:v>0.41078725047178671</c:v>
                </c:pt>
                <c:pt idx="500">
                  <c:v>0.48594632643126584</c:v>
                </c:pt>
                <c:pt idx="501">
                  <c:v>0.33096938970332951</c:v>
                </c:pt>
                <c:pt idx="502">
                  <c:v>0.36816410564543794</c:v>
                </c:pt>
                <c:pt idx="503">
                  <c:v>0.38634107354078134</c:v>
                </c:pt>
                <c:pt idx="504">
                  <c:v>0.68624076940349055</c:v>
                </c:pt>
                <c:pt idx="505">
                  <c:v>0.55191869706336505</c:v>
                </c:pt>
                <c:pt idx="506">
                  <c:v>0.49122804457567693</c:v>
                </c:pt>
                <c:pt idx="507">
                  <c:v>0.44839146561131527</c:v>
                </c:pt>
                <c:pt idx="508">
                  <c:v>0.17320925507200077</c:v>
                </c:pt>
                <c:pt idx="509">
                  <c:v>0.44818868673398066</c:v>
                </c:pt>
                <c:pt idx="510">
                  <c:v>0.17154560288418313</c:v>
                </c:pt>
                <c:pt idx="511">
                  <c:v>0.68189828698119237</c:v>
                </c:pt>
                <c:pt idx="512">
                  <c:v>0.55778593773586149</c:v>
                </c:pt>
                <c:pt idx="513">
                  <c:v>0.49037305923109514</c:v>
                </c:pt>
                <c:pt idx="514">
                  <c:v>0.25565443897966555</c:v>
                </c:pt>
                <c:pt idx="515">
                  <c:v>0.41526675383236616</c:v>
                </c:pt>
                <c:pt idx="516">
                  <c:v>0.34559596942184417</c:v>
                </c:pt>
                <c:pt idx="517">
                  <c:v>0.53546199699904939</c:v>
                </c:pt>
                <c:pt idx="518">
                  <c:v>0.31056065622450657</c:v>
                </c:pt>
                <c:pt idx="519">
                  <c:v>0.29963616812698846</c:v>
                </c:pt>
                <c:pt idx="520">
                  <c:v>0.36523145388098466</c:v>
                </c:pt>
                <c:pt idx="521">
                  <c:v>0.52906316180235524</c:v>
                </c:pt>
                <c:pt idx="522">
                  <c:v>0.39590612277372683</c:v>
                </c:pt>
                <c:pt idx="523">
                  <c:v>0.5020465901050063</c:v>
                </c:pt>
                <c:pt idx="524">
                  <c:v>0.1787537367382869</c:v>
                </c:pt>
                <c:pt idx="525">
                  <c:v>0.3281645813888408</c:v>
                </c:pt>
                <c:pt idx="526">
                  <c:v>0.4250893664883944</c:v>
                </c:pt>
                <c:pt idx="527">
                  <c:v>0.36297126687169529</c:v>
                </c:pt>
                <c:pt idx="528">
                  <c:v>0.17427613148363044</c:v>
                </c:pt>
                <c:pt idx="529">
                  <c:v>0.70266123240792888</c:v>
                </c:pt>
                <c:pt idx="530">
                  <c:v>0.79634417309506045</c:v>
                </c:pt>
                <c:pt idx="531">
                  <c:v>0.25080348833241378</c:v>
                </c:pt>
                <c:pt idx="532">
                  <c:v>0.29846990808411644</c:v>
                </c:pt>
                <c:pt idx="533">
                  <c:v>0.46766166645371293</c:v>
                </c:pt>
                <c:pt idx="534">
                  <c:v>0.44542954708777704</c:v>
                </c:pt>
                <c:pt idx="535">
                  <c:v>0.72912117482686412</c:v>
                </c:pt>
                <c:pt idx="536">
                  <c:v>0.62715130649080186</c:v>
                </c:pt>
                <c:pt idx="537">
                  <c:v>0.75618349609476088</c:v>
                </c:pt>
                <c:pt idx="538">
                  <c:v>0.57990798410152944</c:v>
                </c:pt>
                <c:pt idx="539">
                  <c:v>0.34458633476714634</c:v>
                </c:pt>
                <c:pt idx="540">
                  <c:v>0.34989866265979852</c:v>
                </c:pt>
                <c:pt idx="541">
                  <c:v>0.16927279977011239</c:v>
                </c:pt>
                <c:pt idx="542">
                  <c:v>0.45455156498208665</c:v>
                </c:pt>
                <c:pt idx="543">
                  <c:v>0.63256808513607488</c:v>
                </c:pt>
                <c:pt idx="544">
                  <c:v>0.66710766835637281</c:v>
                </c:pt>
                <c:pt idx="545">
                  <c:v>0.40693957041207557</c:v>
                </c:pt>
                <c:pt idx="546">
                  <c:v>0.38584285292464665</c:v>
                </c:pt>
                <c:pt idx="547">
                  <c:v>0.28167793422176324</c:v>
                </c:pt>
                <c:pt idx="548">
                  <c:v>0.54281699845680176</c:v>
                </c:pt>
                <c:pt idx="549">
                  <c:v>0.63554521675266462</c:v>
                </c:pt>
                <c:pt idx="550">
                  <c:v>0.20382689414417926</c:v>
                </c:pt>
                <c:pt idx="551">
                  <c:v>0.426243190599216</c:v>
                </c:pt>
                <c:pt idx="552">
                  <c:v>0.38155638076198117</c:v>
                </c:pt>
                <c:pt idx="553">
                  <c:v>0.23778126982238504</c:v>
                </c:pt>
                <c:pt idx="554">
                  <c:v>0.34993449495439621</c:v>
                </c:pt>
                <c:pt idx="555">
                  <c:v>0.30501291603706576</c:v>
                </c:pt>
                <c:pt idx="556">
                  <c:v>0.1632743309525756</c:v>
                </c:pt>
                <c:pt idx="557">
                  <c:v>0.64739444579402705</c:v>
                </c:pt>
                <c:pt idx="558">
                  <c:v>0.44587152048394713</c:v>
                </c:pt>
                <c:pt idx="559">
                  <c:v>0.13738206328589</c:v>
                </c:pt>
                <c:pt idx="560">
                  <c:v>0.76693192665650178</c:v>
                </c:pt>
                <c:pt idx="561">
                  <c:v>0.79035203192041148</c:v>
                </c:pt>
                <c:pt idx="562">
                  <c:v>0.47444653297280853</c:v>
                </c:pt>
                <c:pt idx="563">
                  <c:v>0.48061913912769805</c:v>
                </c:pt>
                <c:pt idx="564">
                  <c:v>0.48506363940212521</c:v>
                </c:pt>
                <c:pt idx="565">
                  <c:v>0.53718990795584043</c:v>
                </c:pt>
                <c:pt idx="566">
                  <c:v>0.74029156434787102</c:v>
                </c:pt>
                <c:pt idx="567">
                  <c:v>0.38175312447257764</c:v>
                </c:pt>
                <c:pt idx="568">
                  <c:v>0.1948250573075293</c:v>
                </c:pt>
                <c:pt idx="569">
                  <c:v>0.68181177909007329</c:v>
                </c:pt>
                <c:pt idx="570">
                  <c:v>0.45097412276231569</c:v>
                </c:pt>
                <c:pt idx="571">
                  <c:v>0.19997982187072391</c:v>
                </c:pt>
                <c:pt idx="572">
                  <c:v>0.68920162362098114</c:v>
                </c:pt>
                <c:pt idx="573">
                  <c:v>0.23247583268745295</c:v>
                </c:pt>
                <c:pt idx="574">
                  <c:v>0.2085868780104381</c:v>
                </c:pt>
                <c:pt idx="575">
                  <c:v>0.36144313567707392</c:v>
                </c:pt>
                <c:pt idx="576">
                  <c:v>0.40627606528514004</c:v>
                </c:pt>
                <c:pt idx="577">
                  <c:v>0.62678056314046182</c:v>
                </c:pt>
                <c:pt idx="578">
                  <c:v>0.66793187742411519</c:v>
                </c:pt>
                <c:pt idx="579">
                  <c:v>0.1357090613958695</c:v>
                </c:pt>
                <c:pt idx="580">
                  <c:v>0.57188008429790016</c:v>
                </c:pt>
                <c:pt idx="581">
                  <c:v>0.480100167235046</c:v>
                </c:pt>
                <c:pt idx="582">
                  <c:v>0.60232108152235564</c:v>
                </c:pt>
                <c:pt idx="583">
                  <c:v>0.58640946998183452</c:v>
                </c:pt>
                <c:pt idx="584">
                  <c:v>0.56366309988695806</c:v>
                </c:pt>
                <c:pt idx="585">
                  <c:v>0.66436869756628747</c:v>
                </c:pt>
                <c:pt idx="586">
                  <c:v>0.47345404784907708</c:v>
                </c:pt>
                <c:pt idx="587">
                  <c:v>0.4399913925324892</c:v>
                </c:pt>
                <c:pt idx="588">
                  <c:v>0.54089696263580811</c:v>
                </c:pt>
                <c:pt idx="589">
                  <c:v>0.39053338625688683</c:v>
                </c:pt>
                <c:pt idx="590">
                  <c:v>0.61258511700100549</c:v>
                </c:pt>
                <c:pt idx="591">
                  <c:v>0.57721251218383451</c:v>
                </c:pt>
                <c:pt idx="592">
                  <c:v>0.52340952495139104</c:v>
                </c:pt>
                <c:pt idx="593">
                  <c:v>0.3166712709963197</c:v>
                </c:pt>
                <c:pt idx="594">
                  <c:v>0.51517967586707747</c:v>
                </c:pt>
                <c:pt idx="595">
                  <c:v>0.2861899535534918</c:v>
                </c:pt>
                <c:pt idx="596">
                  <c:v>0.74923601338095835</c:v>
                </c:pt>
                <c:pt idx="597">
                  <c:v>0.5446321272118122</c:v>
                </c:pt>
                <c:pt idx="598">
                  <c:v>0.50850333390828939</c:v>
                </c:pt>
                <c:pt idx="599">
                  <c:v>0.39612454397917474</c:v>
                </c:pt>
                <c:pt idx="600">
                  <c:v>0.71867166891178724</c:v>
                </c:pt>
                <c:pt idx="601">
                  <c:v>0.58399406118960417</c:v>
                </c:pt>
                <c:pt idx="602">
                  <c:v>0.74692540093062099</c:v>
                </c:pt>
                <c:pt idx="603">
                  <c:v>0.17731356730738837</c:v>
                </c:pt>
                <c:pt idx="604">
                  <c:v>0.81419482707170532</c:v>
                </c:pt>
                <c:pt idx="605">
                  <c:v>0.41629884757786095</c:v>
                </c:pt>
                <c:pt idx="606">
                  <c:v>0.29844598365955405</c:v>
                </c:pt>
                <c:pt idx="607">
                  <c:v>0.37892831638022034</c:v>
                </c:pt>
                <c:pt idx="608">
                  <c:v>0.2515313346122543</c:v>
                </c:pt>
                <c:pt idx="609">
                  <c:v>0.65117456298284793</c:v>
                </c:pt>
                <c:pt idx="610">
                  <c:v>0.16718949181902018</c:v>
                </c:pt>
                <c:pt idx="611">
                  <c:v>0.42670208292357786</c:v>
                </c:pt>
                <c:pt idx="612">
                  <c:v>0.70855735699530442</c:v>
                </c:pt>
                <c:pt idx="613">
                  <c:v>0.70252504705857932</c:v>
                </c:pt>
                <c:pt idx="614">
                  <c:v>0.596432981816716</c:v>
                </c:pt>
                <c:pt idx="615">
                  <c:v>0.39119347460925513</c:v>
                </c:pt>
                <c:pt idx="616">
                  <c:v>0.45796888907877403</c:v>
                </c:pt>
                <c:pt idx="617">
                  <c:v>0.42785002740100764</c:v>
                </c:pt>
                <c:pt idx="618">
                  <c:v>0.48232125483035465</c:v>
                </c:pt>
                <c:pt idx="619">
                  <c:v>0.41865916408931114</c:v>
                </c:pt>
                <c:pt idx="620">
                  <c:v>0.2493540983983544</c:v>
                </c:pt>
                <c:pt idx="621">
                  <c:v>0.78310410007542497</c:v>
                </c:pt>
                <c:pt idx="622">
                  <c:v>0.37580321641537939</c:v>
                </c:pt>
                <c:pt idx="623">
                  <c:v>0.39092958284374435</c:v>
                </c:pt>
                <c:pt idx="624">
                  <c:v>0.48777567093025403</c:v>
                </c:pt>
                <c:pt idx="625">
                  <c:v>0.66274625416485999</c:v>
                </c:pt>
                <c:pt idx="626">
                  <c:v>0.5178131969417259</c:v>
                </c:pt>
                <c:pt idx="627">
                  <c:v>0.72072058159536512</c:v>
                </c:pt>
                <c:pt idx="628">
                  <c:v>0.42432521412979568</c:v>
                </c:pt>
                <c:pt idx="629">
                  <c:v>0.49048715863806619</c:v>
                </c:pt>
                <c:pt idx="630">
                  <c:v>0.48325117646687293</c:v>
                </c:pt>
                <c:pt idx="631">
                  <c:v>0.62956756807562386</c:v>
                </c:pt>
                <c:pt idx="632">
                  <c:v>0.7068428961428046</c:v>
                </c:pt>
                <c:pt idx="633">
                  <c:v>0.30036816827029555</c:v>
                </c:pt>
                <c:pt idx="634">
                  <c:v>0.542749105727523</c:v>
                </c:pt>
                <c:pt idx="635">
                  <c:v>0.625602766731988</c:v>
                </c:pt>
                <c:pt idx="636">
                  <c:v>0.17471478830640871</c:v>
                </c:pt>
                <c:pt idx="637">
                  <c:v>0.7896203877500847</c:v>
                </c:pt>
                <c:pt idx="638">
                  <c:v>0.76743920504781205</c:v>
                </c:pt>
                <c:pt idx="639">
                  <c:v>0.63914639872011392</c:v>
                </c:pt>
                <c:pt idx="640">
                  <c:v>0.7892329250450435</c:v>
                </c:pt>
                <c:pt idx="641">
                  <c:v>0.51160741428222667</c:v>
                </c:pt>
                <c:pt idx="642">
                  <c:v>0.59347363929903929</c:v>
                </c:pt>
                <c:pt idx="643">
                  <c:v>0.48132883077445815</c:v>
                </c:pt>
                <c:pt idx="644">
                  <c:v>0.20866197615619012</c:v>
                </c:pt>
                <c:pt idx="645">
                  <c:v>0.40443251415922649</c:v>
                </c:pt>
                <c:pt idx="646">
                  <c:v>0.34567905293367351</c:v>
                </c:pt>
                <c:pt idx="647">
                  <c:v>0.25423098087977608</c:v>
                </c:pt>
                <c:pt idx="648">
                  <c:v>0.47051727940713856</c:v>
                </c:pt>
                <c:pt idx="649">
                  <c:v>0.3653295842444631</c:v>
                </c:pt>
                <c:pt idx="650">
                  <c:v>0.71051681550738877</c:v>
                </c:pt>
                <c:pt idx="651">
                  <c:v>0.62359032617630683</c:v>
                </c:pt>
                <c:pt idx="652">
                  <c:v>0.51004788309534055</c:v>
                </c:pt>
                <c:pt idx="653">
                  <c:v>0.6900276680002867</c:v>
                </c:pt>
                <c:pt idx="654">
                  <c:v>0.72462030252553766</c:v>
                </c:pt>
                <c:pt idx="655">
                  <c:v>0.60883518416555682</c:v>
                </c:pt>
                <c:pt idx="656">
                  <c:v>0.21729709319198559</c:v>
                </c:pt>
                <c:pt idx="657">
                  <c:v>0.47097953834336542</c:v>
                </c:pt>
                <c:pt idx="658">
                  <c:v>0.46224261763997815</c:v>
                </c:pt>
                <c:pt idx="659">
                  <c:v>0.54095082985989562</c:v>
                </c:pt>
                <c:pt idx="660">
                  <c:v>0.45890611256489289</c:v>
                </c:pt>
                <c:pt idx="661">
                  <c:v>0.32342276649558632</c:v>
                </c:pt>
                <c:pt idx="662">
                  <c:v>0.59876617728185588</c:v>
                </c:pt>
                <c:pt idx="663">
                  <c:v>0.55796896594591772</c:v>
                </c:pt>
                <c:pt idx="664">
                  <c:v>0.4967943242023064</c:v>
                </c:pt>
                <c:pt idx="665">
                  <c:v>0.43255280846444377</c:v>
                </c:pt>
                <c:pt idx="666">
                  <c:v>0.51806366139431359</c:v>
                </c:pt>
                <c:pt idx="667">
                  <c:v>0.66768410123393329</c:v>
                </c:pt>
                <c:pt idx="668">
                  <c:v>0.4785385681520532</c:v>
                </c:pt>
                <c:pt idx="669">
                  <c:v>0.53452915679505819</c:v>
                </c:pt>
                <c:pt idx="670">
                  <c:v>0.37815914965642849</c:v>
                </c:pt>
                <c:pt idx="671">
                  <c:v>0.52886749783554599</c:v>
                </c:pt>
                <c:pt idx="672">
                  <c:v>0.64978335046234059</c:v>
                </c:pt>
                <c:pt idx="673">
                  <c:v>0.60428191959744315</c:v>
                </c:pt>
                <c:pt idx="674">
                  <c:v>0.16729114074244519</c:v>
                </c:pt>
                <c:pt idx="675">
                  <c:v>0.33339550450871097</c:v>
                </c:pt>
                <c:pt idx="676">
                  <c:v>0.63626371881075827</c:v>
                </c:pt>
                <c:pt idx="677">
                  <c:v>0.44140391625920694</c:v>
                </c:pt>
                <c:pt idx="678">
                  <c:v>0.64549085780661808</c:v>
                </c:pt>
                <c:pt idx="679">
                  <c:v>0.49958050811124</c:v>
                </c:pt>
                <c:pt idx="680">
                  <c:v>0.67982780523412745</c:v>
                </c:pt>
                <c:pt idx="681">
                  <c:v>0.44441479534263645</c:v>
                </c:pt>
                <c:pt idx="682">
                  <c:v>0.81681454702016243</c:v>
                </c:pt>
                <c:pt idx="683">
                  <c:v>0.3521167183762508</c:v>
                </c:pt>
                <c:pt idx="684">
                  <c:v>0.46315908820669721</c:v>
                </c:pt>
                <c:pt idx="685">
                  <c:v>0.35256287904541667</c:v>
                </c:pt>
                <c:pt idx="686">
                  <c:v>0.36964683894044015</c:v>
                </c:pt>
                <c:pt idx="687">
                  <c:v>0.16708687096048744</c:v>
                </c:pt>
                <c:pt idx="688">
                  <c:v>0.20614481355357253</c:v>
                </c:pt>
                <c:pt idx="689">
                  <c:v>0.45885045489397758</c:v>
                </c:pt>
                <c:pt idx="690">
                  <c:v>0.37471906110623737</c:v>
                </c:pt>
                <c:pt idx="691">
                  <c:v>0.2418170637697464</c:v>
                </c:pt>
                <c:pt idx="692">
                  <c:v>0.70564145185571103</c:v>
                </c:pt>
                <c:pt idx="693">
                  <c:v>0.3522652395580676</c:v>
                </c:pt>
                <c:pt idx="694">
                  <c:v>0.24078080759625567</c:v>
                </c:pt>
                <c:pt idx="695">
                  <c:v>0.32257860489759571</c:v>
                </c:pt>
                <c:pt idx="696">
                  <c:v>0.59491835797794845</c:v>
                </c:pt>
                <c:pt idx="697">
                  <c:v>0.61668504559949755</c:v>
                </c:pt>
                <c:pt idx="698">
                  <c:v>0.49285171060120087</c:v>
                </c:pt>
                <c:pt idx="699">
                  <c:v>0.51772953544332612</c:v>
                </c:pt>
                <c:pt idx="700">
                  <c:v>0.4122963061027759</c:v>
                </c:pt>
                <c:pt idx="701">
                  <c:v>0.53357322712426425</c:v>
                </c:pt>
                <c:pt idx="702">
                  <c:v>0.53640480150681558</c:v>
                </c:pt>
                <c:pt idx="703">
                  <c:v>0.66264498013062978</c:v>
                </c:pt>
                <c:pt idx="704">
                  <c:v>0.50399826169904249</c:v>
                </c:pt>
                <c:pt idx="705">
                  <c:v>0.24660688867097202</c:v>
                </c:pt>
                <c:pt idx="706">
                  <c:v>0.51716056797183385</c:v>
                </c:pt>
                <c:pt idx="707">
                  <c:v>0.22206297636111186</c:v>
                </c:pt>
                <c:pt idx="708">
                  <c:v>0.22394301075230436</c:v>
                </c:pt>
                <c:pt idx="709">
                  <c:v>0.57097822973424928</c:v>
                </c:pt>
                <c:pt idx="710">
                  <c:v>0.14476755128337646</c:v>
                </c:pt>
                <c:pt idx="711">
                  <c:v>0.42125444298708131</c:v>
                </c:pt>
                <c:pt idx="712">
                  <c:v>0.50063153541437844</c:v>
                </c:pt>
                <c:pt idx="713">
                  <c:v>0.56844328971913038</c:v>
                </c:pt>
                <c:pt idx="714">
                  <c:v>0.453499708551727</c:v>
                </c:pt>
                <c:pt idx="715">
                  <c:v>0.69690433896397241</c:v>
                </c:pt>
                <c:pt idx="716">
                  <c:v>0.42608285911492783</c:v>
                </c:pt>
                <c:pt idx="717">
                  <c:v>0.44558591341943299</c:v>
                </c:pt>
                <c:pt idx="718">
                  <c:v>0.36407958942671764</c:v>
                </c:pt>
                <c:pt idx="719">
                  <c:v>0.64808335334871481</c:v>
                </c:pt>
                <c:pt idx="720">
                  <c:v>0.48046814887893791</c:v>
                </c:pt>
                <c:pt idx="721">
                  <c:v>0.46978244303074768</c:v>
                </c:pt>
                <c:pt idx="722">
                  <c:v>0.2510306886194914</c:v>
                </c:pt>
                <c:pt idx="723">
                  <c:v>0.22034636743525216</c:v>
                </c:pt>
                <c:pt idx="724">
                  <c:v>0.43788341554001375</c:v>
                </c:pt>
                <c:pt idx="725">
                  <c:v>0.36638124296373636</c:v>
                </c:pt>
                <c:pt idx="726">
                  <c:v>0.31026281420849194</c:v>
                </c:pt>
                <c:pt idx="727">
                  <c:v>0.40118957617973888</c:v>
                </c:pt>
                <c:pt idx="728">
                  <c:v>0.19798186813566729</c:v>
                </c:pt>
                <c:pt idx="729">
                  <c:v>0.76076268759452959</c:v>
                </c:pt>
                <c:pt idx="730">
                  <c:v>0.67493515576554575</c:v>
                </c:pt>
                <c:pt idx="731">
                  <c:v>0.69224301087513973</c:v>
                </c:pt>
                <c:pt idx="732">
                  <c:v>0.44023796328701487</c:v>
                </c:pt>
                <c:pt idx="733">
                  <c:v>0.56681901504952981</c:v>
                </c:pt>
                <c:pt idx="734">
                  <c:v>0.62692419708455938</c:v>
                </c:pt>
                <c:pt idx="735">
                  <c:v>0.26651243520224027</c:v>
                </c:pt>
                <c:pt idx="736">
                  <c:v>0.37989149733909211</c:v>
                </c:pt>
                <c:pt idx="737">
                  <c:v>0.36940961703955011</c:v>
                </c:pt>
                <c:pt idx="738">
                  <c:v>0.36785055151335977</c:v>
                </c:pt>
                <c:pt idx="739">
                  <c:v>0.48701970850412052</c:v>
                </c:pt>
                <c:pt idx="740">
                  <c:v>0.4672672933666453</c:v>
                </c:pt>
                <c:pt idx="741">
                  <c:v>0.80209981406245268</c:v>
                </c:pt>
                <c:pt idx="742">
                  <c:v>0.76541925108017828</c:v>
                </c:pt>
                <c:pt idx="743">
                  <c:v>0.67661796947290131</c:v>
                </c:pt>
                <c:pt idx="744">
                  <c:v>0.497707075436778</c:v>
                </c:pt>
                <c:pt idx="745">
                  <c:v>0.56558724625639789</c:v>
                </c:pt>
                <c:pt idx="746">
                  <c:v>0.6362544872708692</c:v>
                </c:pt>
                <c:pt idx="747">
                  <c:v>0.49080959206999375</c:v>
                </c:pt>
                <c:pt idx="748">
                  <c:v>0.32305999828278148</c:v>
                </c:pt>
                <c:pt idx="749">
                  <c:v>0.62568397578061696</c:v>
                </c:pt>
                <c:pt idx="750">
                  <c:v>0.581308583271817</c:v>
                </c:pt>
                <c:pt idx="751">
                  <c:v>0.80765860488151942</c:v>
                </c:pt>
                <c:pt idx="752">
                  <c:v>0.50384356589054979</c:v>
                </c:pt>
                <c:pt idx="753">
                  <c:v>0.53773642428323321</c:v>
                </c:pt>
                <c:pt idx="754">
                  <c:v>0.40600682359198398</c:v>
                </c:pt>
                <c:pt idx="755">
                  <c:v>0.28991045471343979</c:v>
                </c:pt>
                <c:pt idx="756">
                  <c:v>0.28524706654218857</c:v>
                </c:pt>
                <c:pt idx="757">
                  <c:v>0.1706453739025538</c:v>
                </c:pt>
                <c:pt idx="758">
                  <c:v>0.20337209555275532</c:v>
                </c:pt>
                <c:pt idx="759">
                  <c:v>0.69684795032441904</c:v>
                </c:pt>
                <c:pt idx="760">
                  <c:v>0.28130426169259976</c:v>
                </c:pt>
                <c:pt idx="761">
                  <c:v>0.17017685177564706</c:v>
                </c:pt>
                <c:pt idx="762">
                  <c:v>0.57302010114329194</c:v>
                </c:pt>
                <c:pt idx="763">
                  <c:v>0.13896669898265032</c:v>
                </c:pt>
                <c:pt idx="764">
                  <c:v>0.59001398813219608</c:v>
                </c:pt>
                <c:pt idx="765">
                  <c:v>0.67237893978347585</c:v>
                </c:pt>
                <c:pt idx="766">
                  <c:v>0.66057296237432772</c:v>
                </c:pt>
                <c:pt idx="767">
                  <c:v>0.41822255786296686</c:v>
                </c:pt>
                <c:pt idx="768">
                  <c:v>0.38528307422395336</c:v>
                </c:pt>
                <c:pt idx="769">
                  <c:v>0.3928527158765453</c:v>
                </c:pt>
                <c:pt idx="770">
                  <c:v>0.24183974870884481</c:v>
                </c:pt>
                <c:pt idx="771">
                  <c:v>0.44593194740092945</c:v>
                </c:pt>
                <c:pt idx="772">
                  <c:v>0.51649004280709776</c:v>
                </c:pt>
                <c:pt idx="773">
                  <c:v>0.39403742578008705</c:v>
                </c:pt>
                <c:pt idx="774">
                  <c:v>0.75049961173561663</c:v>
                </c:pt>
                <c:pt idx="775">
                  <c:v>0.20973335143363825</c:v>
                </c:pt>
                <c:pt idx="776">
                  <c:v>0.28894426828072917</c:v>
                </c:pt>
                <c:pt idx="777">
                  <c:v>0.65010286243444182</c:v>
                </c:pt>
                <c:pt idx="778">
                  <c:v>0.69019021926437485</c:v>
                </c:pt>
                <c:pt idx="779">
                  <c:v>0.73499811945320626</c:v>
                </c:pt>
                <c:pt idx="780">
                  <c:v>0.53294646887890484</c:v>
                </c:pt>
                <c:pt idx="781">
                  <c:v>0.56754139832776784</c:v>
                </c:pt>
                <c:pt idx="782">
                  <c:v>0.52267685841951717</c:v>
                </c:pt>
                <c:pt idx="783">
                  <c:v>0.2428613237072357</c:v>
                </c:pt>
                <c:pt idx="784">
                  <c:v>0.41207988598991274</c:v>
                </c:pt>
                <c:pt idx="785">
                  <c:v>0.27898354974345052</c:v>
                </c:pt>
                <c:pt idx="786">
                  <c:v>0.54629795389045521</c:v>
                </c:pt>
                <c:pt idx="787">
                  <c:v>0.5273610288193501</c:v>
                </c:pt>
                <c:pt idx="788">
                  <c:v>0.59124579940411781</c:v>
                </c:pt>
                <c:pt idx="789">
                  <c:v>0.33202930318462365</c:v>
                </c:pt>
                <c:pt idx="790">
                  <c:v>0.4108145255825652</c:v>
                </c:pt>
                <c:pt idx="791">
                  <c:v>0.66215760729327811</c:v>
                </c:pt>
                <c:pt idx="792">
                  <c:v>0.3570022900030303</c:v>
                </c:pt>
                <c:pt idx="793">
                  <c:v>0.40493966318041369</c:v>
                </c:pt>
                <c:pt idx="794">
                  <c:v>0.38659663725199384</c:v>
                </c:pt>
                <c:pt idx="795">
                  <c:v>0.54431691507285707</c:v>
                </c:pt>
                <c:pt idx="796">
                  <c:v>0.57695878662698696</c:v>
                </c:pt>
                <c:pt idx="797">
                  <c:v>0.32435826397668099</c:v>
                </c:pt>
                <c:pt idx="798">
                  <c:v>0.57909840273639712</c:v>
                </c:pt>
                <c:pt idx="799">
                  <c:v>0.7960327168870337</c:v>
                </c:pt>
                <c:pt idx="800">
                  <c:v>0.59365816182209163</c:v>
                </c:pt>
                <c:pt idx="801">
                  <c:v>0.67320438773739144</c:v>
                </c:pt>
                <c:pt idx="802">
                  <c:v>0.29932340866440604</c:v>
                </c:pt>
                <c:pt idx="803">
                  <c:v>0.17819284140772529</c:v>
                </c:pt>
                <c:pt idx="804">
                  <c:v>0.48968503107579592</c:v>
                </c:pt>
                <c:pt idx="805">
                  <c:v>0.46162372646599592</c:v>
                </c:pt>
                <c:pt idx="806">
                  <c:v>0.35086528916685261</c:v>
                </c:pt>
                <c:pt idx="807">
                  <c:v>0.45173569145887499</c:v>
                </c:pt>
                <c:pt idx="808">
                  <c:v>0.48474870958015065</c:v>
                </c:pt>
                <c:pt idx="809">
                  <c:v>0.55273218303928928</c:v>
                </c:pt>
                <c:pt idx="810">
                  <c:v>0.25114760752440446</c:v>
                </c:pt>
                <c:pt idx="811">
                  <c:v>0.81523729986972115</c:v>
                </c:pt>
                <c:pt idx="812">
                  <c:v>0.37034546367160542</c:v>
                </c:pt>
                <c:pt idx="813">
                  <c:v>0.36848925321178977</c:v>
                </c:pt>
                <c:pt idx="814">
                  <c:v>0.58873189895343958</c:v>
                </c:pt>
                <c:pt idx="815">
                  <c:v>0.36128974660415591</c:v>
                </c:pt>
                <c:pt idx="816">
                  <c:v>0.50943909192597425</c:v>
                </c:pt>
                <c:pt idx="817">
                  <c:v>0.64931405959553101</c:v>
                </c:pt>
                <c:pt idx="818">
                  <c:v>0.32077571676639621</c:v>
                </c:pt>
                <c:pt idx="819">
                  <c:v>0.50238084071967215</c:v>
                </c:pt>
                <c:pt idx="820">
                  <c:v>0.31388540532181053</c:v>
                </c:pt>
                <c:pt idx="821">
                  <c:v>0.38260163443859074</c:v>
                </c:pt>
                <c:pt idx="822">
                  <c:v>0.43675619382332109</c:v>
                </c:pt>
                <c:pt idx="823">
                  <c:v>0.57720533177252387</c:v>
                </c:pt>
                <c:pt idx="824">
                  <c:v>0.2006553348966903</c:v>
                </c:pt>
                <c:pt idx="825">
                  <c:v>0.48624488884465206</c:v>
                </c:pt>
                <c:pt idx="826">
                  <c:v>0.74218818058379143</c:v>
                </c:pt>
                <c:pt idx="827">
                  <c:v>0.563792935202865</c:v>
                </c:pt>
                <c:pt idx="828">
                  <c:v>0.39014650555361002</c:v>
                </c:pt>
                <c:pt idx="829">
                  <c:v>0.3306733565133062</c:v>
                </c:pt>
                <c:pt idx="830">
                  <c:v>0.44175902607717726</c:v>
                </c:pt>
                <c:pt idx="831">
                  <c:v>0.58528948199061559</c:v>
                </c:pt>
                <c:pt idx="832">
                  <c:v>0.68204935770691733</c:v>
                </c:pt>
                <c:pt idx="833">
                  <c:v>0.30008585867542803</c:v>
                </c:pt>
                <c:pt idx="834">
                  <c:v>0.51605233039302933</c:v>
                </c:pt>
                <c:pt idx="835">
                  <c:v>0.78389078486929187</c:v>
                </c:pt>
                <c:pt idx="836">
                  <c:v>0.32681002584206209</c:v>
                </c:pt>
                <c:pt idx="837">
                  <c:v>0.52119300223674392</c:v>
                </c:pt>
                <c:pt idx="838">
                  <c:v>0.29067469108476129</c:v>
                </c:pt>
                <c:pt idx="839">
                  <c:v>0.4210965144268739</c:v>
                </c:pt>
                <c:pt idx="840">
                  <c:v>0.47446581589435816</c:v>
                </c:pt>
                <c:pt idx="841">
                  <c:v>0.44139550868214072</c:v>
                </c:pt>
                <c:pt idx="842">
                  <c:v>0.4625701619370377</c:v>
                </c:pt>
                <c:pt idx="843">
                  <c:v>0.40543259730443459</c:v>
                </c:pt>
                <c:pt idx="844">
                  <c:v>0.23234210893884344</c:v>
                </c:pt>
                <c:pt idx="845">
                  <c:v>0.6274011209889705</c:v>
                </c:pt>
                <c:pt idx="846">
                  <c:v>0.62473787613334131</c:v>
                </c:pt>
                <c:pt idx="847">
                  <c:v>0.5116452727690346</c:v>
                </c:pt>
                <c:pt idx="848">
                  <c:v>0.4364094296975487</c:v>
                </c:pt>
                <c:pt idx="849">
                  <c:v>0.4980815004542809</c:v>
                </c:pt>
                <c:pt idx="850">
                  <c:v>0.82254394118716556</c:v>
                </c:pt>
                <c:pt idx="851">
                  <c:v>0.42638625363709798</c:v>
                </c:pt>
                <c:pt idx="852">
                  <c:v>0.42519479860669601</c:v>
                </c:pt>
                <c:pt idx="853">
                  <c:v>0.57307360508648753</c:v>
                </c:pt>
                <c:pt idx="854">
                  <c:v>0.62725050207222732</c:v>
                </c:pt>
                <c:pt idx="855">
                  <c:v>0.62288929417566274</c:v>
                </c:pt>
                <c:pt idx="856">
                  <c:v>0.41663912399841357</c:v>
                </c:pt>
                <c:pt idx="857">
                  <c:v>0.19431479295514983</c:v>
                </c:pt>
                <c:pt idx="858">
                  <c:v>0.45593456979047009</c:v>
                </c:pt>
                <c:pt idx="859">
                  <c:v>0.32936372830944732</c:v>
                </c:pt>
                <c:pt idx="860">
                  <c:v>0.37000978419197084</c:v>
                </c:pt>
                <c:pt idx="861">
                  <c:v>0.6282795379336531</c:v>
                </c:pt>
                <c:pt idx="862">
                  <c:v>0.60440188515535043</c:v>
                </c:pt>
                <c:pt idx="863">
                  <c:v>0.61484472588240968</c:v>
                </c:pt>
                <c:pt idx="864">
                  <c:v>0.61596747887898773</c:v>
                </c:pt>
                <c:pt idx="865">
                  <c:v>0.34843994725809174</c:v>
                </c:pt>
                <c:pt idx="866">
                  <c:v>0.54496661112040412</c:v>
                </c:pt>
                <c:pt idx="867">
                  <c:v>0.27983110148321361</c:v>
                </c:pt>
                <c:pt idx="868">
                  <c:v>0.80431627751052726</c:v>
                </c:pt>
                <c:pt idx="869">
                  <c:v>0.70765795927379338</c:v>
                </c:pt>
                <c:pt idx="870">
                  <c:v>0.31715181473173004</c:v>
                </c:pt>
                <c:pt idx="871">
                  <c:v>0.2951133251141827</c:v>
                </c:pt>
                <c:pt idx="872">
                  <c:v>0.60079473061344268</c:v>
                </c:pt>
                <c:pt idx="873">
                  <c:v>0.2327812491223111</c:v>
                </c:pt>
                <c:pt idx="874">
                  <c:v>0.46364601675020961</c:v>
                </c:pt>
                <c:pt idx="875">
                  <c:v>0.21626651620746049</c:v>
                </c:pt>
                <c:pt idx="876">
                  <c:v>0.35333764694002467</c:v>
                </c:pt>
                <c:pt idx="877">
                  <c:v>0.46190687476840786</c:v>
                </c:pt>
                <c:pt idx="878">
                  <c:v>0.54115252382500356</c:v>
                </c:pt>
                <c:pt idx="879">
                  <c:v>0.42735662287207388</c:v>
                </c:pt>
                <c:pt idx="880">
                  <c:v>0.6268120254993983</c:v>
                </c:pt>
                <c:pt idx="881">
                  <c:v>0.69643869409575254</c:v>
                </c:pt>
                <c:pt idx="882">
                  <c:v>0.27190462398628462</c:v>
                </c:pt>
                <c:pt idx="883">
                  <c:v>0.28220015895616229</c:v>
                </c:pt>
                <c:pt idx="884">
                  <c:v>0.70332973918868746</c:v>
                </c:pt>
                <c:pt idx="885">
                  <c:v>0.45695254923238671</c:v>
                </c:pt>
                <c:pt idx="886">
                  <c:v>0.60506111827046472</c:v>
                </c:pt>
                <c:pt idx="887">
                  <c:v>0.49440322339996629</c:v>
                </c:pt>
                <c:pt idx="888">
                  <c:v>0.49676452905197466</c:v>
                </c:pt>
                <c:pt idx="889">
                  <c:v>0.27356268762304742</c:v>
                </c:pt>
                <c:pt idx="890">
                  <c:v>0.72969567274115843</c:v>
                </c:pt>
                <c:pt idx="891">
                  <c:v>0.48359941114932103</c:v>
                </c:pt>
                <c:pt idx="892">
                  <c:v>0.49467191128494004</c:v>
                </c:pt>
                <c:pt idx="893">
                  <c:v>0.20862173692989547</c:v>
                </c:pt>
                <c:pt idx="894">
                  <c:v>0.56951485112292455</c:v>
                </c:pt>
                <c:pt idx="895">
                  <c:v>0.81118651067282577</c:v>
                </c:pt>
                <c:pt idx="896">
                  <c:v>0.72025315286023928</c:v>
                </c:pt>
                <c:pt idx="897">
                  <c:v>0.46789471057897453</c:v>
                </c:pt>
                <c:pt idx="898">
                  <c:v>0.58677468059327142</c:v>
                </c:pt>
                <c:pt idx="899">
                  <c:v>0.26851219283027156</c:v>
                </c:pt>
                <c:pt idx="900">
                  <c:v>0.42775884956966448</c:v>
                </c:pt>
                <c:pt idx="901">
                  <c:v>0.6038822398504291</c:v>
                </c:pt>
                <c:pt idx="902">
                  <c:v>0.73121012840935007</c:v>
                </c:pt>
                <c:pt idx="903">
                  <c:v>0.28962868898353406</c:v>
                </c:pt>
                <c:pt idx="904">
                  <c:v>0.31559137433730705</c:v>
                </c:pt>
                <c:pt idx="905">
                  <c:v>0.25390532296288076</c:v>
                </c:pt>
                <c:pt idx="906">
                  <c:v>0.38163041283089971</c:v>
                </c:pt>
                <c:pt idx="907">
                  <c:v>0.40959406886153754</c:v>
                </c:pt>
                <c:pt idx="908">
                  <c:v>0.51976235852491304</c:v>
                </c:pt>
                <c:pt idx="909">
                  <c:v>0.43250015192621688</c:v>
                </c:pt>
                <c:pt idx="910">
                  <c:v>0.45543125718140898</c:v>
                </c:pt>
                <c:pt idx="911">
                  <c:v>0.40059710273743476</c:v>
                </c:pt>
                <c:pt idx="912">
                  <c:v>0.52899113422198596</c:v>
                </c:pt>
                <c:pt idx="913">
                  <c:v>0.64880708302018286</c:v>
                </c:pt>
                <c:pt idx="914">
                  <c:v>0.72604596721969406</c:v>
                </c:pt>
                <c:pt idx="915">
                  <c:v>0.44766884401186563</c:v>
                </c:pt>
                <c:pt idx="916">
                  <c:v>0.49257720511464587</c:v>
                </c:pt>
                <c:pt idx="917">
                  <c:v>0.63850564469736359</c:v>
                </c:pt>
                <c:pt idx="918">
                  <c:v>0.35855126069301396</c:v>
                </c:pt>
                <c:pt idx="919">
                  <c:v>0.54834248357272508</c:v>
                </c:pt>
                <c:pt idx="920">
                  <c:v>0.57733933826591144</c:v>
                </c:pt>
                <c:pt idx="921">
                  <c:v>0.3040543794015011</c:v>
                </c:pt>
                <c:pt idx="922">
                  <c:v>0.70487670034459726</c:v>
                </c:pt>
                <c:pt idx="923">
                  <c:v>0.70640695646368057</c:v>
                </c:pt>
                <c:pt idx="924">
                  <c:v>0.3825542659003186</c:v>
                </c:pt>
                <c:pt idx="925">
                  <c:v>0.31221394306915795</c:v>
                </c:pt>
                <c:pt idx="926">
                  <c:v>0.48714715116245588</c:v>
                </c:pt>
                <c:pt idx="927">
                  <c:v>0.63228341419038381</c:v>
                </c:pt>
                <c:pt idx="928">
                  <c:v>0.33248592633936042</c:v>
                </c:pt>
                <c:pt idx="929">
                  <c:v>0.48181680893085521</c:v>
                </c:pt>
                <c:pt idx="930">
                  <c:v>0.51022718246026078</c:v>
                </c:pt>
                <c:pt idx="931">
                  <c:v>0.52625067106295309</c:v>
                </c:pt>
                <c:pt idx="932">
                  <c:v>0.73257650675462527</c:v>
                </c:pt>
                <c:pt idx="933">
                  <c:v>0.29296231680696161</c:v>
                </c:pt>
                <c:pt idx="934">
                  <c:v>0.2332296599578651</c:v>
                </c:pt>
                <c:pt idx="935">
                  <c:v>0.16592894324978649</c:v>
                </c:pt>
                <c:pt idx="936">
                  <c:v>0.41275920102259139</c:v>
                </c:pt>
                <c:pt idx="937">
                  <c:v>0.49729958369793392</c:v>
                </c:pt>
                <c:pt idx="938">
                  <c:v>0.48429809778018457</c:v>
                </c:pt>
                <c:pt idx="939">
                  <c:v>0.555628077113965</c:v>
                </c:pt>
                <c:pt idx="940">
                  <c:v>0.22844689537798382</c:v>
                </c:pt>
                <c:pt idx="941">
                  <c:v>0.51243755915813682</c:v>
                </c:pt>
                <c:pt idx="942">
                  <c:v>0.48933026456488804</c:v>
                </c:pt>
                <c:pt idx="943">
                  <c:v>0.43445509751627487</c:v>
                </c:pt>
                <c:pt idx="944">
                  <c:v>0.25329641596849478</c:v>
                </c:pt>
                <c:pt idx="945">
                  <c:v>0.46600868293898584</c:v>
                </c:pt>
                <c:pt idx="946">
                  <c:v>0.52543827121426634</c:v>
                </c:pt>
                <c:pt idx="947">
                  <c:v>0.1948588371652179</c:v>
                </c:pt>
                <c:pt idx="948">
                  <c:v>0.46990950399690995</c:v>
                </c:pt>
                <c:pt idx="949">
                  <c:v>0.50760764011534421</c:v>
                </c:pt>
                <c:pt idx="950">
                  <c:v>0.66100411006809434</c:v>
                </c:pt>
                <c:pt idx="951">
                  <c:v>0.51495055818545954</c:v>
                </c:pt>
                <c:pt idx="952">
                  <c:v>0.54055043655942814</c:v>
                </c:pt>
                <c:pt idx="953">
                  <c:v>0.49996914768002604</c:v>
                </c:pt>
                <c:pt idx="954">
                  <c:v>0.37372962457209918</c:v>
                </c:pt>
                <c:pt idx="955">
                  <c:v>0.6844860109417954</c:v>
                </c:pt>
                <c:pt idx="956">
                  <c:v>0.47988765958166824</c:v>
                </c:pt>
                <c:pt idx="957">
                  <c:v>0.57777093382582678</c:v>
                </c:pt>
                <c:pt idx="958">
                  <c:v>0.19888807257860919</c:v>
                </c:pt>
                <c:pt idx="959">
                  <c:v>0.53911135340291838</c:v>
                </c:pt>
                <c:pt idx="960">
                  <c:v>0.39385982409819914</c:v>
                </c:pt>
                <c:pt idx="961">
                  <c:v>0.39321250931212892</c:v>
                </c:pt>
                <c:pt idx="962">
                  <c:v>0.62434551223652601</c:v>
                </c:pt>
                <c:pt idx="963">
                  <c:v>0.23280313935210944</c:v>
                </c:pt>
                <c:pt idx="964">
                  <c:v>0.3772326724813706</c:v>
                </c:pt>
                <c:pt idx="965">
                  <c:v>0.25127526749317586</c:v>
                </c:pt>
                <c:pt idx="966">
                  <c:v>0.38601698833236814</c:v>
                </c:pt>
                <c:pt idx="967">
                  <c:v>0.54692649252645276</c:v>
                </c:pt>
                <c:pt idx="968">
                  <c:v>0.47904746448293611</c:v>
                </c:pt>
                <c:pt idx="969">
                  <c:v>0.52110832647334859</c:v>
                </c:pt>
                <c:pt idx="970">
                  <c:v>0.47399889196811917</c:v>
                </c:pt>
                <c:pt idx="971">
                  <c:v>0.27868072324450588</c:v>
                </c:pt>
                <c:pt idx="972">
                  <c:v>0.4164668473984231</c:v>
                </c:pt>
                <c:pt idx="973">
                  <c:v>0.15718610521816331</c:v>
                </c:pt>
                <c:pt idx="974">
                  <c:v>0.57833877739054229</c:v>
                </c:pt>
                <c:pt idx="975">
                  <c:v>0.56752516643639994</c:v>
                </c:pt>
                <c:pt idx="976">
                  <c:v>0.30315332924782118</c:v>
                </c:pt>
                <c:pt idx="977">
                  <c:v>0.20214929825590841</c:v>
                </c:pt>
                <c:pt idx="978">
                  <c:v>0.41874278192715653</c:v>
                </c:pt>
                <c:pt idx="979">
                  <c:v>0.77831359070734052</c:v>
                </c:pt>
                <c:pt idx="980">
                  <c:v>0.48431301401183113</c:v>
                </c:pt>
                <c:pt idx="981">
                  <c:v>0.37016796934670615</c:v>
                </c:pt>
                <c:pt idx="982">
                  <c:v>0.46786770380251474</c:v>
                </c:pt>
                <c:pt idx="983">
                  <c:v>0.59434633746494814</c:v>
                </c:pt>
                <c:pt idx="984">
                  <c:v>0.42943831018703971</c:v>
                </c:pt>
                <c:pt idx="985">
                  <c:v>0.46123195482989826</c:v>
                </c:pt>
                <c:pt idx="986">
                  <c:v>0.33684247513038534</c:v>
                </c:pt>
                <c:pt idx="987">
                  <c:v>0.58383036944833855</c:v>
                </c:pt>
                <c:pt idx="988">
                  <c:v>0.8254187971483663</c:v>
                </c:pt>
                <c:pt idx="989">
                  <c:v>0.5453314763997833</c:v>
                </c:pt>
                <c:pt idx="990">
                  <c:v>0.46687191766849845</c:v>
                </c:pt>
                <c:pt idx="991">
                  <c:v>0.42191013491245605</c:v>
                </c:pt>
                <c:pt idx="992">
                  <c:v>0.41116809212930799</c:v>
                </c:pt>
                <c:pt idx="993">
                  <c:v>0.46019358478364675</c:v>
                </c:pt>
                <c:pt idx="994">
                  <c:v>0.77447922634681121</c:v>
                </c:pt>
                <c:pt idx="995">
                  <c:v>0.54005724168890312</c:v>
                </c:pt>
                <c:pt idx="996">
                  <c:v>0.30907645347235924</c:v>
                </c:pt>
                <c:pt idx="997">
                  <c:v>0.4984857561284684</c:v>
                </c:pt>
                <c:pt idx="998">
                  <c:v>0.74059820113534403</c:v>
                </c:pt>
                <c:pt idx="999">
                  <c:v>0.53424441248954679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94-43A3-8DFD-33BA89C2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253976"/>
        <c:axId val="649253192"/>
      </c:scatterChart>
      <c:valAx>
        <c:axId val="649253976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Risk: Standard Deviation of Historical Monthly Returns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3192"/>
        <c:crosses val="autoZero"/>
        <c:crossBetween val="midCat"/>
      </c:valAx>
      <c:valAx>
        <c:axId val="6492531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Reward: Historical Monthly Returns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3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and Reward </a:t>
            </a:r>
          </a:p>
          <a:p>
            <a:pPr>
              <a:defRPr/>
            </a:pPr>
            <a:r>
              <a:rPr lang="en-US" sz="1100"/>
              <a:t>Long Sample: 1928-2011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Solutions!$M$5:$P$5</c:f>
              <c:strCache>
                <c:ptCount val="4"/>
                <c:pt idx="0">
                  <c:v>T-Bills</c:v>
                </c:pt>
                <c:pt idx="1">
                  <c:v>T-Bonds</c:v>
                </c:pt>
                <c:pt idx="2">
                  <c:v>Big Stks</c:v>
                </c:pt>
                <c:pt idx="3">
                  <c:v>Small Stks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6-4B1A-A18B-3C2382069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66-4B1A-A18B-3C23820698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6-4B1A-A18B-3C23820698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66-4B1A-A18B-3C2382069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Solutions!$M$7:$P$7</c:f>
              <c:numCache>
                <c:formatCode>0.00</c:formatCode>
                <c:ptCount val="4"/>
                <c:pt idx="0">
                  <c:v>3.1354788440931296</c:v>
                </c:pt>
                <c:pt idx="1">
                  <c:v>6.6430871361304202</c:v>
                </c:pt>
                <c:pt idx="2">
                  <c:v>21.622608597987337</c:v>
                </c:pt>
                <c:pt idx="3">
                  <c:v>28.880649326034934</c:v>
                </c:pt>
              </c:numCache>
            </c:numRef>
          </c:xVal>
          <c:yVal>
            <c:numRef>
              <c:f>Solutions!$M$6:$P$6</c:f>
              <c:numCache>
                <c:formatCode>0.00</c:formatCode>
                <c:ptCount val="4"/>
                <c:pt idx="0">
                  <c:v>3.634642857142858</c:v>
                </c:pt>
                <c:pt idx="1">
                  <c:v>6.7420238095238103</c:v>
                </c:pt>
                <c:pt idx="2">
                  <c:v>12.012142857142855</c:v>
                </c:pt>
                <c:pt idx="3">
                  <c:v>16.686309523809523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E-48CA-82C9-3003D7CF8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250840"/>
        <c:axId val="649253584"/>
      </c:scatterChart>
      <c:valAx>
        <c:axId val="649250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Risk: Annual Standard Deviation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3584"/>
        <c:crosses val="autoZero"/>
        <c:crossBetween val="midCat"/>
      </c:valAx>
      <c:valAx>
        <c:axId val="64925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Reward: Annual Monthly Return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and Reward </a:t>
            </a:r>
          </a:p>
          <a:p>
            <a:pPr>
              <a:defRPr/>
            </a:pPr>
            <a:r>
              <a:rPr lang="en-US" sz="1100"/>
              <a:t>Short Sample: 2002-2011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81-45A0-AE2B-D83D02C4A6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81-45A0-AE2B-D83D02C4A6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81-45A0-AE2B-D83D02C4A6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81-45A0-AE2B-D83D02C4A6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Solutions!$M$24:$P$24</c:f>
              <c:numCache>
                <c:formatCode>0.00</c:formatCode>
                <c:ptCount val="4"/>
                <c:pt idx="0">
                  <c:v>1.782115160264466</c:v>
                </c:pt>
                <c:pt idx="1">
                  <c:v>6.6516735571667311</c:v>
                </c:pt>
                <c:pt idx="2">
                  <c:v>21.240430420413908</c:v>
                </c:pt>
                <c:pt idx="3">
                  <c:v>24.166401860618159</c:v>
                </c:pt>
              </c:numCache>
            </c:numRef>
          </c:xVal>
          <c:yVal>
            <c:numRef>
              <c:f>Solutions!$M$23:$P$23</c:f>
              <c:numCache>
                <c:formatCode>0.00</c:formatCode>
                <c:ptCount val="4"/>
                <c:pt idx="0">
                  <c:v>1.8229999999999997</c:v>
                </c:pt>
                <c:pt idx="1">
                  <c:v>9.0749999999999993</c:v>
                </c:pt>
                <c:pt idx="2">
                  <c:v>6.3020000000000005</c:v>
                </c:pt>
                <c:pt idx="3">
                  <c:v>11.293000000000003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C2-430E-9C6F-69D8071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254368"/>
        <c:axId val="649252408"/>
      </c:scatterChart>
      <c:valAx>
        <c:axId val="64925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Risk: Annual Standard Deviation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2408"/>
        <c:crosses val="autoZero"/>
        <c:crossBetween val="midCat"/>
      </c:valAx>
      <c:valAx>
        <c:axId val="64925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Reward: Annual Monthly Return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Solutions!$E$79</c:f>
              <c:strCache>
                <c:ptCount val="1"/>
                <c:pt idx="0">
                  <c:v>CPB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4246891135487936E-2"/>
                  <c:y val="-0.344140419947506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Solutions!$D$80:$D$139</c:f>
              <c:numCache>
                <c:formatCode>0.000</c:formatCode>
                <c:ptCount val="60"/>
                <c:pt idx="0">
                  <c:v>4.3583062218506295E-2</c:v>
                </c:pt>
                <c:pt idx="1">
                  <c:v>4.058946413084185E-2</c:v>
                </c:pt>
                <c:pt idx="2">
                  <c:v>3.1332314530530633E-2</c:v>
                </c:pt>
                <c:pt idx="3">
                  <c:v>-7.4974527092704279E-3</c:v>
                </c:pt>
                <c:pt idx="4">
                  <c:v>-6.2650725633177598E-2</c:v>
                </c:pt>
                <c:pt idx="5">
                  <c:v>3.9554982134591417E-2</c:v>
                </c:pt>
                <c:pt idx="6">
                  <c:v>1.2597574126154459E-2</c:v>
                </c:pt>
                <c:pt idx="7">
                  <c:v>1.9763369680148135E-2</c:v>
                </c:pt>
                <c:pt idx="8">
                  <c:v>2.4236153696477046E-2</c:v>
                </c:pt>
                <c:pt idx="9">
                  <c:v>-1.9789409878227443E-2</c:v>
                </c:pt>
                <c:pt idx="10">
                  <c:v>2.8467170173433272E-3</c:v>
                </c:pt>
                <c:pt idx="11">
                  <c:v>7.0682304638645639E-3</c:v>
                </c:pt>
                <c:pt idx="12">
                  <c:v>5.0428096519578497E-2</c:v>
                </c:pt>
                <c:pt idx="13">
                  <c:v>1.1060649195259101E-2</c:v>
                </c:pt>
                <c:pt idx="14">
                  <c:v>3.5987723516956123E-2</c:v>
                </c:pt>
                <c:pt idx="15">
                  <c:v>1.8085767859252408E-2</c:v>
                </c:pt>
                <c:pt idx="16">
                  <c:v>2.0762811721046208E-2</c:v>
                </c:pt>
                <c:pt idx="17">
                  <c:v>-1.4999301636062792E-2</c:v>
                </c:pt>
                <c:pt idx="18">
                  <c:v>4.9462079815225081E-2</c:v>
                </c:pt>
                <c:pt idx="19">
                  <c:v>-3.1298019033866906E-2</c:v>
                </c:pt>
                <c:pt idx="20">
                  <c:v>2.9749523177239098E-2</c:v>
                </c:pt>
                <c:pt idx="21">
                  <c:v>4.45957526180061E-2</c:v>
                </c:pt>
                <c:pt idx="22">
                  <c:v>2.8049471635186524E-2</c:v>
                </c:pt>
                <c:pt idx="23">
                  <c:v>2.3562791550492821E-2</c:v>
                </c:pt>
                <c:pt idx="24">
                  <c:v>-3.5582905675162646E-2</c:v>
                </c:pt>
                <c:pt idx="25">
                  <c:v>4.3117029976595334E-2</c:v>
                </c:pt>
                <c:pt idx="26">
                  <c:v>6.9321656079357136E-3</c:v>
                </c:pt>
                <c:pt idx="27">
                  <c:v>6.2007889650527552E-3</c:v>
                </c:pt>
                <c:pt idx="28">
                  <c:v>2.103028001299596E-2</c:v>
                </c:pt>
                <c:pt idx="29">
                  <c:v>1.9058331658920603E-2</c:v>
                </c:pt>
                <c:pt idx="30">
                  <c:v>-1.5079830581919834E-2</c:v>
                </c:pt>
                <c:pt idx="31">
                  <c:v>3.7655295489735195E-2</c:v>
                </c:pt>
                <c:pt idx="32">
                  <c:v>-1.5513837223063749E-2</c:v>
                </c:pt>
                <c:pt idx="33">
                  <c:v>2.3201460786772227E-2</c:v>
                </c:pt>
                <c:pt idx="34">
                  <c:v>2.4533588760364766E-2</c:v>
                </c:pt>
                <c:pt idx="35">
                  <c:v>-4.1885878779204062E-3</c:v>
                </c:pt>
                <c:pt idx="36">
                  <c:v>-3.1040805790470173E-2</c:v>
                </c:pt>
                <c:pt idx="37">
                  <c:v>5.4892511014553995E-2</c:v>
                </c:pt>
                <c:pt idx="38">
                  <c:v>-1.7396106913756221E-2</c:v>
                </c:pt>
                <c:pt idx="39">
                  <c:v>8.5208197301247391E-3</c:v>
                </c:pt>
                <c:pt idx="40">
                  <c:v>1.0491382393316857E-2</c:v>
                </c:pt>
                <c:pt idx="41">
                  <c:v>-2.1011672375900521E-2</c:v>
                </c:pt>
                <c:pt idx="42">
                  <c:v>1.9742029696721345E-2</c:v>
                </c:pt>
                <c:pt idx="43">
                  <c:v>-6.2580818167202831E-2</c:v>
                </c:pt>
                <c:pt idx="44">
                  <c:v>-2.6442831573227094E-2</c:v>
                </c:pt>
                <c:pt idx="45">
                  <c:v>8.2983117760394132E-2</c:v>
                </c:pt>
                <c:pt idx="46">
                  <c:v>5.0486926072401835E-4</c:v>
                </c:pt>
                <c:pt idx="47">
                  <c:v>-1.7530185176314418E-2</c:v>
                </c:pt>
                <c:pt idx="48">
                  <c:v>-5.073532197294639E-2</c:v>
                </c:pt>
                <c:pt idx="49">
                  <c:v>-4.1283604302991229E-3</c:v>
                </c:pt>
                <c:pt idx="50">
                  <c:v>6.5991114577365145E-2</c:v>
                </c:pt>
                <c:pt idx="51">
                  <c:v>2.6993984808732631E-3</c:v>
                </c:pt>
                <c:pt idx="52">
                  <c:v>1.5324602357572555E-2</c:v>
                </c:pt>
                <c:pt idx="53">
                  <c:v>9.1092112097811118E-4</c:v>
                </c:pt>
                <c:pt idx="54">
                  <c:v>3.5609801125254283E-2</c:v>
                </c:pt>
                <c:pt idx="55">
                  <c:v>-1.2192431360480338E-3</c:v>
                </c:pt>
                <c:pt idx="56">
                  <c:v>-1.2344508443253945E-3</c:v>
                </c:pt>
                <c:pt idx="57">
                  <c:v>-1.9425679279557545E-2</c:v>
                </c:pt>
                <c:pt idx="58">
                  <c:v>3.4174522187570479E-2</c:v>
                </c:pt>
                <c:pt idx="59">
                  <c:v>1.8200762196895176E-2</c:v>
                </c:pt>
              </c:numCache>
            </c:numRef>
          </c:xVal>
          <c:yVal>
            <c:numRef>
              <c:f>Solutions!$E$80:$E$139</c:f>
              <c:numCache>
                <c:formatCode>0.000</c:formatCode>
                <c:ptCount val="60"/>
                <c:pt idx="0">
                  <c:v>-4.6329727868623632E-2</c:v>
                </c:pt>
                <c:pt idx="1">
                  <c:v>5.1104092114842251E-2</c:v>
                </c:pt>
                <c:pt idx="2">
                  <c:v>1.5906318184488552E-2</c:v>
                </c:pt>
                <c:pt idx="3">
                  <c:v>8.0145825447518141E-3</c:v>
                </c:pt>
                <c:pt idx="4">
                  <c:v>-6.2961894042090863E-2</c:v>
                </c:pt>
                <c:pt idx="5">
                  <c:v>5.299683812908744E-2</c:v>
                </c:pt>
                <c:pt idx="6">
                  <c:v>5.9127991353116912E-4</c:v>
                </c:pt>
                <c:pt idx="7">
                  <c:v>6.1310712475518246E-2</c:v>
                </c:pt>
                <c:pt idx="8">
                  <c:v>-9.1064296144259278E-3</c:v>
                </c:pt>
                <c:pt idx="9">
                  <c:v>2.1299743413840666E-2</c:v>
                </c:pt>
                <c:pt idx="10">
                  <c:v>4.1961954887708014E-2</c:v>
                </c:pt>
                <c:pt idx="11">
                  <c:v>-3.5252535785504593E-2</c:v>
                </c:pt>
                <c:pt idx="12">
                  <c:v>5.2163936775241268E-2</c:v>
                </c:pt>
                <c:pt idx="13">
                  <c:v>0.12122039685366863</c:v>
                </c:pt>
                <c:pt idx="14">
                  <c:v>0.10204083446421877</c:v>
                </c:pt>
                <c:pt idx="15">
                  <c:v>2.3148103005656534E-2</c:v>
                </c:pt>
                <c:pt idx="16">
                  <c:v>-7.7569396078684988E-2</c:v>
                </c:pt>
                <c:pt idx="17">
                  <c:v>4.6250867471441165E-2</c:v>
                </c:pt>
                <c:pt idx="18">
                  <c:v>5.1654783869239655E-2</c:v>
                </c:pt>
                <c:pt idx="19">
                  <c:v>-7.7350391426754525E-2</c:v>
                </c:pt>
                <c:pt idx="20">
                  <c:v>-5.7202482247515528E-2</c:v>
                </c:pt>
                <c:pt idx="21">
                  <c:v>5.3733296413775319E-2</c:v>
                </c:pt>
                <c:pt idx="22">
                  <c:v>-9.0204337411906838E-2</c:v>
                </c:pt>
                <c:pt idx="23">
                  <c:v>0.11747988916468179</c:v>
                </c:pt>
                <c:pt idx="24">
                  <c:v>-4.0875310683240622E-2</c:v>
                </c:pt>
                <c:pt idx="25">
                  <c:v>5.0958531444330407E-2</c:v>
                </c:pt>
                <c:pt idx="26">
                  <c:v>3.6250316509868805E-2</c:v>
                </c:pt>
                <c:pt idx="27">
                  <c:v>2.068908427765663E-2</c:v>
                </c:pt>
                <c:pt idx="28">
                  <c:v>9.0129368768258698E-3</c:v>
                </c:pt>
                <c:pt idx="29">
                  <c:v>-1.9607714716824705E-3</c:v>
                </c:pt>
                <c:pt idx="30">
                  <c:v>-8.5945434234583645E-2</c:v>
                </c:pt>
                <c:pt idx="31">
                  <c:v>7.766289145709139E-2</c:v>
                </c:pt>
                <c:pt idx="32">
                  <c:v>-4.6631004438341908E-2</c:v>
                </c:pt>
                <c:pt idx="33">
                  <c:v>4.1379260943975475E-2</c:v>
                </c:pt>
                <c:pt idx="34">
                  <c:v>2.513015389986455E-2</c:v>
                </c:pt>
                <c:pt idx="35">
                  <c:v>-2.8268520894824359E-2</c:v>
                </c:pt>
                <c:pt idx="36">
                  <c:v>4.681305919165691E-2</c:v>
                </c:pt>
                <c:pt idx="37">
                  <c:v>1.8583267049556897E-2</c:v>
                </c:pt>
                <c:pt idx="38">
                  <c:v>-8.5849177979501455E-4</c:v>
                </c:pt>
                <c:pt idx="39">
                  <c:v>-3.3001353591150355E-2</c:v>
                </c:pt>
                <c:pt idx="40">
                  <c:v>8.118995401386199E-2</c:v>
                </c:pt>
                <c:pt idx="41">
                  <c:v>-1.427381564086389E-2</c:v>
                </c:pt>
                <c:pt idx="42">
                  <c:v>4.1669392511316294E-2</c:v>
                </c:pt>
                <c:pt idx="43">
                  <c:v>-2.6769403711727625E-2</c:v>
                </c:pt>
                <c:pt idx="44">
                  <c:v>5.6053271378032885E-2</c:v>
                </c:pt>
                <c:pt idx="45">
                  <c:v>8.2992672301196897E-3</c:v>
                </c:pt>
                <c:pt idx="46">
                  <c:v>2.854898828660327E-2</c:v>
                </c:pt>
                <c:pt idx="47">
                  <c:v>5.9340766941713375E-3</c:v>
                </c:pt>
                <c:pt idx="48">
                  <c:v>7.9963677305439074E-2</c:v>
                </c:pt>
                <c:pt idx="49">
                  <c:v>9.4664102424428215E-2</c:v>
                </c:pt>
                <c:pt idx="50">
                  <c:v>3.3036459316616279E-2</c:v>
                </c:pt>
                <c:pt idx="51">
                  <c:v>-2.7912140708970388E-2</c:v>
                </c:pt>
                <c:pt idx="52">
                  <c:v>-1.8473485529008977E-2</c:v>
                </c:pt>
                <c:pt idx="53">
                  <c:v>9.8398582005320673E-2</c:v>
                </c:pt>
                <c:pt idx="54">
                  <c:v>-5.9688156756264404E-2</c:v>
                </c:pt>
                <c:pt idx="55">
                  <c:v>-2.4891548853635714E-2</c:v>
                </c:pt>
                <c:pt idx="56">
                  <c:v>-9.9143656298873131E-2</c:v>
                </c:pt>
                <c:pt idx="57">
                  <c:v>-8.8441997832731334E-5</c:v>
                </c:pt>
                <c:pt idx="58">
                  <c:v>4.6926736579709326E-2</c:v>
                </c:pt>
                <c:pt idx="59">
                  <c:v>4.5702244355089088E-3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35-46BA-A461-E9773BBE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252800"/>
        <c:axId val="649247704"/>
      </c:scatterChart>
      <c:valAx>
        <c:axId val="649252800"/>
        <c:scaling>
          <c:orientation val="minMax"/>
          <c:min val="-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Solutions!$D$79</c:f>
              <c:strCache>
                <c:ptCount val="1"/>
                <c:pt idx="0">
                  <c:v>S&amp;P 500</c:v>
                </c:pt>
              </c:strCache>
            </c:strRef>
          </c:tx>
          <c:layout>
            <c:manualLayout>
              <c:xMode val="edge"/>
              <c:yMode val="edge"/>
              <c:x val="0.40958333333333335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7704"/>
        <c:crosses val="autoZero"/>
        <c:crossBetween val="midCat"/>
        <c:majorUnit val="5.000000000000001E-2"/>
        <c:minorUnit val="5.000000000000001E-2"/>
      </c:valAx>
      <c:valAx>
        <c:axId val="649247704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Solutions!$E$79</c:f>
              <c:strCache>
                <c:ptCount val="1"/>
                <c:pt idx="0">
                  <c:v>CPB</c:v>
                </c:pt>
              </c:strCache>
            </c:strRef>
          </c:tx>
          <c:layout>
            <c:manualLayout>
              <c:xMode val="edge"/>
              <c:yMode val="edge"/>
              <c:x val="1.7199790353818876E-2"/>
              <c:y val="0.47473690788651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52800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Solutions!$F$79</c:f>
              <c:strCache>
                <c:ptCount val="1"/>
                <c:pt idx="0">
                  <c:v>AAPL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7825021872265962E-2"/>
                  <c:y val="-0.199840696996208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Solutions!$D$80:$D$139</c:f>
              <c:numCache>
                <c:formatCode>0.000</c:formatCode>
                <c:ptCount val="60"/>
                <c:pt idx="0">
                  <c:v>4.3583062218506295E-2</c:v>
                </c:pt>
                <c:pt idx="1">
                  <c:v>4.058946413084185E-2</c:v>
                </c:pt>
                <c:pt idx="2">
                  <c:v>3.1332314530530633E-2</c:v>
                </c:pt>
                <c:pt idx="3">
                  <c:v>-7.4974527092704279E-3</c:v>
                </c:pt>
                <c:pt idx="4">
                  <c:v>-6.2650725633177598E-2</c:v>
                </c:pt>
                <c:pt idx="5">
                  <c:v>3.9554982134591417E-2</c:v>
                </c:pt>
                <c:pt idx="6">
                  <c:v>1.2597574126154459E-2</c:v>
                </c:pt>
                <c:pt idx="7">
                  <c:v>1.9763369680148135E-2</c:v>
                </c:pt>
                <c:pt idx="8">
                  <c:v>2.4236153696477046E-2</c:v>
                </c:pt>
                <c:pt idx="9">
                  <c:v>-1.9789409878227443E-2</c:v>
                </c:pt>
                <c:pt idx="10">
                  <c:v>2.8467170173433272E-3</c:v>
                </c:pt>
                <c:pt idx="11">
                  <c:v>7.0682304638645639E-3</c:v>
                </c:pt>
                <c:pt idx="12">
                  <c:v>5.0428096519578497E-2</c:v>
                </c:pt>
                <c:pt idx="13">
                  <c:v>1.1060649195259101E-2</c:v>
                </c:pt>
                <c:pt idx="14">
                  <c:v>3.5987723516956123E-2</c:v>
                </c:pt>
                <c:pt idx="15">
                  <c:v>1.8085767859252408E-2</c:v>
                </c:pt>
                <c:pt idx="16">
                  <c:v>2.0762811721046208E-2</c:v>
                </c:pt>
                <c:pt idx="17">
                  <c:v>-1.4999301636062792E-2</c:v>
                </c:pt>
                <c:pt idx="18">
                  <c:v>4.9462079815225081E-2</c:v>
                </c:pt>
                <c:pt idx="19">
                  <c:v>-3.1298019033866906E-2</c:v>
                </c:pt>
                <c:pt idx="20">
                  <c:v>2.9749523177239098E-2</c:v>
                </c:pt>
                <c:pt idx="21">
                  <c:v>4.45957526180061E-2</c:v>
                </c:pt>
                <c:pt idx="22">
                  <c:v>2.8049471635186524E-2</c:v>
                </c:pt>
                <c:pt idx="23">
                  <c:v>2.3562791550492821E-2</c:v>
                </c:pt>
                <c:pt idx="24">
                  <c:v>-3.5582905675162646E-2</c:v>
                </c:pt>
                <c:pt idx="25">
                  <c:v>4.3117029976595334E-2</c:v>
                </c:pt>
                <c:pt idx="26">
                  <c:v>6.9321656079357136E-3</c:v>
                </c:pt>
                <c:pt idx="27">
                  <c:v>6.2007889650527552E-3</c:v>
                </c:pt>
                <c:pt idx="28">
                  <c:v>2.103028001299596E-2</c:v>
                </c:pt>
                <c:pt idx="29">
                  <c:v>1.9058331658920603E-2</c:v>
                </c:pt>
                <c:pt idx="30">
                  <c:v>-1.5079830581919834E-2</c:v>
                </c:pt>
                <c:pt idx="31">
                  <c:v>3.7655295489735195E-2</c:v>
                </c:pt>
                <c:pt idx="32">
                  <c:v>-1.5513837223063749E-2</c:v>
                </c:pt>
                <c:pt idx="33">
                  <c:v>2.3201460786772227E-2</c:v>
                </c:pt>
                <c:pt idx="34">
                  <c:v>2.4533588760364766E-2</c:v>
                </c:pt>
                <c:pt idx="35">
                  <c:v>-4.1885878779204062E-3</c:v>
                </c:pt>
                <c:pt idx="36">
                  <c:v>-3.1040805790470173E-2</c:v>
                </c:pt>
                <c:pt idx="37">
                  <c:v>5.4892511014553995E-2</c:v>
                </c:pt>
                <c:pt idx="38">
                  <c:v>-1.7396106913756221E-2</c:v>
                </c:pt>
                <c:pt idx="39">
                  <c:v>8.5208197301247391E-3</c:v>
                </c:pt>
                <c:pt idx="40">
                  <c:v>1.0491382393316857E-2</c:v>
                </c:pt>
                <c:pt idx="41">
                  <c:v>-2.1011672375900521E-2</c:v>
                </c:pt>
                <c:pt idx="42">
                  <c:v>1.9742029696721345E-2</c:v>
                </c:pt>
                <c:pt idx="43">
                  <c:v>-6.2580818167202831E-2</c:v>
                </c:pt>
                <c:pt idx="44">
                  <c:v>-2.6442831573227094E-2</c:v>
                </c:pt>
                <c:pt idx="45">
                  <c:v>8.2983117760394132E-2</c:v>
                </c:pt>
                <c:pt idx="46">
                  <c:v>5.0486926072401835E-4</c:v>
                </c:pt>
                <c:pt idx="47">
                  <c:v>-1.7530185176314418E-2</c:v>
                </c:pt>
                <c:pt idx="48">
                  <c:v>-5.073532197294639E-2</c:v>
                </c:pt>
                <c:pt idx="49">
                  <c:v>-4.1283604302991229E-3</c:v>
                </c:pt>
                <c:pt idx="50">
                  <c:v>6.5991114577365145E-2</c:v>
                </c:pt>
                <c:pt idx="51">
                  <c:v>2.6993984808732631E-3</c:v>
                </c:pt>
                <c:pt idx="52">
                  <c:v>1.5324602357572555E-2</c:v>
                </c:pt>
                <c:pt idx="53">
                  <c:v>9.1092112097811118E-4</c:v>
                </c:pt>
                <c:pt idx="54">
                  <c:v>3.5609801125254283E-2</c:v>
                </c:pt>
                <c:pt idx="55">
                  <c:v>-1.2192431360480338E-3</c:v>
                </c:pt>
                <c:pt idx="56">
                  <c:v>-1.2344508443253945E-3</c:v>
                </c:pt>
                <c:pt idx="57">
                  <c:v>-1.9425679279557545E-2</c:v>
                </c:pt>
                <c:pt idx="58">
                  <c:v>3.4174522187570479E-2</c:v>
                </c:pt>
                <c:pt idx="59">
                  <c:v>1.8200762196895176E-2</c:v>
                </c:pt>
              </c:numCache>
            </c:numRef>
          </c:xVal>
          <c:yVal>
            <c:numRef>
              <c:f>Solutions!$F$80:$F$139</c:f>
              <c:numCache>
                <c:formatCode>0.000</c:formatCode>
                <c:ptCount val="60"/>
                <c:pt idx="0">
                  <c:v>0.12711105788445379</c:v>
                </c:pt>
                <c:pt idx="1">
                  <c:v>0.18831070826901419</c:v>
                </c:pt>
                <c:pt idx="2">
                  <c:v>0.10528342394215917</c:v>
                </c:pt>
                <c:pt idx="3">
                  <c:v>-2.5969474350135999E-2</c:v>
                </c:pt>
                <c:pt idx="4">
                  <c:v>-1.0702405480440987E-2</c:v>
                </c:pt>
                <c:pt idx="5">
                  <c:v>1.0852841869027756E-2</c:v>
                </c:pt>
                <c:pt idx="6">
                  <c:v>4.5821868482470954E-2</c:v>
                </c:pt>
                <c:pt idx="7">
                  <c:v>9.3876805513109562E-2</c:v>
                </c:pt>
                <c:pt idx="8">
                  <c:v>2.7960248684807416E-3</c:v>
                </c:pt>
                <c:pt idx="9">
                  <c:v>-0.10760006692145699</c:v>
                </c:pt>
                <c:pt idx="10">
                  <c:v>-1.23745703425697E-2</c:v>
                </c:pt>
                <c:pt idx="11">
                  <c:v>-9.0742939593728658E-2</c:v>
                </c:pt>
                <c:pt idx="12">
                  <c:v>-0.14408923865572726</c:v>
                </c:pt>
                <c:pt idx="13">
                  <c:v>-2.5285979455111213E-2</c:v>
                </c:pt>
                <c:pt idx="14">
                  <c:v>2.8545955296941823E-3</c:v>
                </c:pt>
                <c:pt idx="15">
                  <c:v>2.710432877815493E-4</c:v>
                </c:pt>
                <c:pt idx="16">
                  <c:v>2.241919003825937E-2</c:v>
                </c:pt>
                <c:pt idx="17">
                  <c:v>-0.11829318928957727</c:v>
                </c:pt>
                <c:pt idx="18">
                  <c:v>0.14122500467437421</c:v>
                </c:pt>
                <c:pt idx="19">
                  <c:v>8.376686624834781E-2</c:v>
                </c:pt>
                <c:pt idx="20">
                  <c:v>-2.1489348730723831E-2</c:v>
                </c:pt>
                <c:pt idx="21">
                  <c:v>9.6381725146357747E-2</c:v>
                </c:pt>
                <c:pt idx="22">
                  <c:v>7.0052712871031084E-2</c:v>
                </c:pt>
                <c:pt idx="23">
                  <c:v>8.9017618165607229E-3</c:v>
                </c:pt>
                <c:pt idx="24">
                  <c:v>-0.10769674524377233</c:v>
                </c:pt>
                <c:pt idx="25">
                  <c:v>5.7510921180773437E-2</c:v>
                </c:pt>
                <c:pt idx="26">
                  <c:v>1.9952830551754633E-2</c:v>
                </c:pt>
                <c:pt idx="27">
                  <c:v>9.9396380800342674E-2</c:v>
                </c:pt>
                <c:pt idx="28">
                  <c:v>7.8709326489183287E-2</c:v>
                </c:pt>
                <c:pt idx="29">
                  <c:v>2.7661867543386329E-2</c:v>
                </c:pt>
                <c:pt idx="30">
                  <c:v>2.8731287932777815E-2</c:v>
                </c:pt>
                <c:pt idx="31">
                  <c:v>7.7508863992752711E-2</c:v>
                </c:pt>
                <c:pt idx="32">
                  <c:v>-1.7073183932499778E-2</c:v>
                </c:pt>
                <c:pt idx="33">
                  <c:v>7.1960280022456719E-2</c:v>
                </c:pt>
                <c:pt idx="34">
                  <c:v>0.10597879627643625</c:v>
                </c:pt>
                <c:pt idx="35">
                  <c:v>-7.1891059126717505E-2</c:v>
                </c:pt>
                <c:pt idx="36">
                  <c:v>6.1424183359176793E-2</c:v>
                </c:pt>
                <c:pt idx="37">
                  <c:v>0.10077653010236594</c:v>
                </c:pt>
                <c:pt idx="38">
                  <c:v>-3.1371687049765735E-2</c:v>
                </c:pt>
                <c:pt idx="39">
                  <c:v>5.7863822163982436E-3</c:v>
                </c:pt>
                <c:pt idx="40">
                  <c:v>4.5339126186557048E-2</c:v>
                </c:pt>
                <c:pt idx="41">
                  <c:v>-3.7227483018360812E-2</c:v>
                </c:pt>
                <c:pt idx="42">
                  <c:v>-3.29267037839171E-2</c:v>
                </c:pt>
                <c:pt idx="43">
                  <c:v>-6.6196215616971033E-2</c:v>
                </c:pt>
                <c:pt idx="44">
                  <c:v>-2.1816235711789051E-2</c:v>
                </c:pt>
                <c:pt idx="45">
                  <c:v>8.3408845857531361E-2</c:v>
                </c:pt>
                <c:pt idx="46">
                  <c:v>-5.8042157046832108E-3</c:v>
                </c:pt>
                <c:pt idx="47">
                  <c:v>-0.11022822028502036</c:v>
                </c:pt>
                <c:pt idx="48">
                  <c:v>-7.5242364683284782E-2</c:v>
                </c:pt>
                <c:pt idx="49">
                  <c:v>-1.2875177824747375E-3</c:v>
                </c:pt>
                <c:pt idx="50">
                  <c:v>0.12721057077914119</c:v>
                </c:pt>
                <c:pt idx="51">
                  <c:v>-0.13992105767610991</c:v>
                </c:pt>
                <c:pt idx="52">
                  <c:v>7.1772924203735267E-2</c:v>
                </c:pt>
                <c:pt idx="53">
                  <c:v>-4.2659694654368877E-2</c:v>
                </c:pt>
                <c:pt idx="54">
                  <c:v>9.0062736672425148E-2</c:v>
                </c:pt>
                <c:pt idx="55">
                  <c:v>2.3651934536408528E-2</c:v>
                </c:pt>
                <c:pt idx="56">
                  <c:v>6.5504244985393534E-2</c:v>
                </c:pt>
                <c:pt idx="57">
                  <c:v>4.3343328688598215E-3</c:v>
                </c:pt>
                <c:pt idx="58">
                  <c:v>-2.1600889761367547E-2</c:v>
                </c:pt>
                <c:pt idx="59">
                  <c:v>-9.3196198936960385E-3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31-4508-B7E5-6BDF4A668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248096"/>
        <c:axId val="649248880"/>
      </c:scatterChart>
      <c:valAx>
        <c:axId val="649248096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Solutions!$D$79</c:f>
              <c:strCache>
                <c:ptCount val="1"/>
                <c:pt idx="0">
                  <c:v>S&amp;P 500</c:v>
                </c:pt>
              </c:strCache>
            </c:strRef>
          </c:tx>
          <c:layout>
            <c:manualLayout>
              <c:xMode val="edge"/>
              <c:yMode val="edge"/>
              <c:x val="0.40958333333333335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8880"/>
        <c:crosses val="autoZero"/>
        <c:crossBetween val="midCat"/>
        <c:minorUnit val="5.000000000000001E-2"/>
      </c:valAx>
      <c:valAx>
        <c:axId val="649248880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Solutions!$F$79</c:f>
              <c:strCache>
                <c:ptCount val="1"/>
                <c:pt idx="0">
                  <c:v>AAPL</c:v>
                </c:pt>
              </c:strCache>
            </c:strRef>
          </c:tx>
          <c:layout>
            <c:manualLayout>
              <c:xMode val="edge"/>
              <c:yMode val="edge"/>
              <c:x val="1.7199790353818876E-2"/>
              <c:y val="0.47473690788651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48096"/>
        <c:crosses val="autoZero"/>
        <c:crossBetween val="midCat"/>
        <c:majorUnit val="5.000000000000001E-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Solutions!$G$79</c:f>
              <c:strCache>
                <c:ptCount val="1"/>
                <c:pt idx="0">
                  <c:v>GM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6623386195290336E-2"/>
                  <c:y val="-0.204683789526309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Solutions!$D$80:$D$139</c:f>
              <c:numCache>
                <c:formatCode>0.000</c:formatCode>
                <c:ptCount val="60"/>
                <c:pt idx="0">
                  <c:v>4.3583062218506295E-2</c:v>
                </c:pt>
                <c:pt idx="1">
                  <c:v>4.058946413084185E-2</c:v>
                </c:pt>
                <c:pt idx="2">
                  <c:v>3.1332314530530633E-2</c:v>
                </c:pt>
                <c:pt idx="3">
                  <c:v>-7.4974527092704279E-3</c:v>
                </c:pt>
                <c:pt idx="4">
                  <c:v>-6.2650725633177598E-2</c:v>
                </c:pt>
                <c:pt idx="5">
                  <c:v>3.9554982134591417E-2</c:v>
                </c:pt>
                <c:pt idx="6">
                  <c:v>1.2597574126154459E-2</c:v>
                </c:pt>
                <c:pt idx="7">
                  <c:v>1.9763369680148135E-2</c:v>
                </c:pt>
                <c:pt idx="8">
                  <c:v>2.4236153696477046E-2</c:v>
                </c:pt>
                <c:pt idx="9">
                  <c:v>-1.9789409878227443E-2</c:v>
                </c:pt>
                <c:pt idx="10">
                  <c:v>2.8467170173433272E-3</c:v>
                </c:pt>
                <c:pt idx="11">
                  <c:v>7.0682304638645639E-3</c:v>
                </c:pt>
                <c:pt idx="12">
                  <c:v>5.0428096519578497E-2</c:v>
                </c:pt>
                <c:pt idx="13">
                  <c:v>1.1060649195259101E-2</c:v>
                </c:pt>
                <c:pt idx="14">
                  <c:v>3.5987723516956123E-2</c:v>
                </c:pt>
                <c:pt idx="15">
                  <c:v>1.8085767859252408E-2</c:v>
                </c:pt>
                <c:pt idx="16">
                  <c:v>2.0762811721046208E-2</c:v>
                </c:pt>
                <c:pt idx="17">
                  <c:v>-1.4999301636062792E-2</c:v>
                </c:pt>
                <c:pt idx="18">
                  <c:v>4.9462079815225081E-2</c:v>
                </c:pt>
                <c:pt idx="19">
                  <c:v>-3.1298019033866906E-2</c:v>
                </c:pt>
                <c:pt idx="20">
                  <c:v>2.9749523177239098E-2</c:v>
                </c:pt>
                <c:pt idx="21">
                  <c:v>4.45957526180061E-2</c:v>
                </c:pt>
                <c:pt idx="22">
                  <c:v>2.8049471635186524E-2</c:v>
                </c:pt>
                <c:pt idx="23">
                  <c:v>2.3562791550492821E-2</c:v>
                </c:pt>
                <c:pt idx="24">
                  <c:v>-3.5582905675162646E-2</c:v>
                </c:pt>
                <c:pt idx="25">
                  <c:v>4.3117029976595334E-2</c:v>
                </c:pt>
                <c:pt idx="26">
                  <c:v>6.9321656079357136E-3</c:v>
                </c:pt>
                <c:pt idx="27">
                  <c:v>6.2007889650527552E-3</c:v>
                </c:pt>
                <c:pt idx="28">
                  <c:v>2.103028001299596E-2</c:v>
                </c:pt>
                <c:pt idx="29">
                  <c:v>1.9058331658920603E-2</c:v>
                </c:pt>
                <c:pt idx="30">
                  <c:v>-1.5079830581919834E-2</c:v>
                </c:pt>
                <c:pt idx="31">
                  <c:v>3.7655295489735195E-2</c:v>
                </c:pt>
                <c:pt idx="32">
                  <c:v>-1.5513837223063749E-2</c:v>
                </c:pt>
                <c:pt idx="33">
                  <c:v>2.3201460786772227E-2</c:v>
                </c:pt>
                <c:pt idx="34">
                  <c:v>2.4533588760364766E-2</c:v>
                </c:pt>
                <c:pt idx="35">
                  <c:v>-4.1885878779204062E-3</c:v>
                </c:pt>
                <c:pt idx="36">
                  <c:v>-3.1040805790470173E-2</c:v>
                </c:pt>
                <c:pt idx="37">
                  <c:v>5.4892511014553995E-2</c:v>
                </c:pt>
                <c:pt idx="38">
                  <c:v>-1.7396106913756221E-2</c:v>
                </c:pt>
                <c:pt idx="39">
                  <c:v>8.5208197301247391E-3</c:v>
                </c:pt>
                <c:pt idx="40">
                  <c:v>1.0491382393316857E-2</c:v>
                </c:pt>
                <c:pt idx="41">
                  <c:v>-2.1011672375900521E-2</c:v>
                </c:pt>
                <c:pt idx="42">
                  <c:v>1.9742029696721345E-2</c:v>
                </c:pt>
                <c:pt idx="43">
                  <c:v>-6.2580818167202831E-2</c:v>
                </c:pt>
                <c:pt idx="44">
                  <c:v>-2.6442831573227094E-2</c:v>
                </c:pt>
                <c:pt idx="45">
                  <c:v>8.2983117760394132E-2</c:v>
                </c:pt>
                <c:pt idx="46">
                  <c:v>5.0486926072401835E-4</c:v>
                </c:pt>
                <c:pt idx="47">
                  <c:v>-1.7530185176314418E-2</c:v>
                </c:pt>
                <c:pt idx="48">
                  <c:v>-5.073532197294639E-2</c:v>
                </c:pt>
                <c:pt idx="49">
                  <c:v>-4.1283604302991229E-3</c:v>
                </c:pt>
                <c:pt idx="50">
                  <c:v>6.5991114577365145E-2</c:v>
                </c:pt>
                <c:pt idx="51">
                  <c:v>2.6993984808732631E-3</c:v>
                </c:pt>
                <c:pt idx="52">
                  <c:v>1.5324602357572555E-2</c:v>
                </c:pt>
                <c:pt idx="53">
                  <c:v>9.1092112097811118E-4</c:v>
                </c:pt>
                <c:pt idx="54">
                  <c:v>3.5609801125254283E-2</c:v>
                </c:pt>
                <c:pt idx="55">
                  <c:v>-1.2192431360480338E-3</c:v>
                </c:pt>
                <c:pt idx="56">
                  <c:v>-1.2344508443253945E-3</c:v>
                </c:pt>
                <c:pt idx="57">
                  <c:v>-1.9425679279557545E-2</c:v>
                </c:pt>
                <c:pt idx="58">
                  <c:v>3.4174522187570479E-2</c:v>
                </c:pt>
                <c:pt idx="59">
                  <c:v>1.8200762196895176E-2</c:v>
                </c:pt>
              </c:numCache>
            </c:numRef>
          </c:xVal>
          <c:yVal>
            <c:numRef>
              <c:f>Solutions!$G$80:$G$139</c:f>
              <c:numCache>
                <c:formatCode>0.000</c:formatCode>
                <c:ptCount val="60"/>
                <c:pt idx="0">
                  <c:v>0.18500243745459907</c:v>
                </c:pt>
                <c:pt idx="1">
                  <c:v>8.3263948296331394E-2</c:v>
                </c:pt>
                <c:pt idx="2">
                  <c:v>-1.4219879481941883E-2</c:v>
                </c:pt>
                <c:pt idx="3">
                  <c:v>-0.10331382477707886</c:v>
                </c:pt>
                <c:pt idx="4">
                  <c:v>-3.4782610424632612E-2</c:v>
                </c:pt>
                <c:pt idx="5">
                  <c:v>-0.1117117380645971</c:v>
                </c:pt>
                <c:pt idx="6">
                  <c:v>-5.0711682546604312E-4</c:v>
                </c:pt>
                <c:pt idx="7">
                  <c:v>8.3206571976938731E-2</c:v>
                </c:pt>
                <c:pt idx="8">
                  <c:v>6.5573825797340543E-2</c:v>
                </c:pt>
                <c:pt idx="9">
                  <c:v>0.12087909271454991</c:v>
                </c:pt>
                <c:pt idx="10">
                  <c:v>1.4901844213739296E-2</c:v>
                </c:pt>
                <c:pt idx="11">
                  <c:v>0.11398775877338052</c:v>
                </c:pt>
                <c:pt idx="12">
                  <c:v>-2.5667754938624877E-2</c:v>
                </c:pt>
                <c:pt idx="13">
                  <c:v>-3.3463835354424959E-2</c:v>
                </c:pt>
                <c:pt idx="14">
                  <c:v>2.4677721121020544E-2</c:v>
                </c:pt>
                <c:pt idx="15">
                  <c:v>0.10855494065564994</c:v>
                </c:pt>
                <c:pt idx="16">
                  <c:v>9.8897560803091256E-2</c:v>
                </c:pt>
                <c:pt idx="17">
                  <c:v>-1.7114139751401435E-2</c:v>
                </c:pt>
                <c:pt idx="18">
                  <c:v>7.6853721357126759E-2</c:v>
                </c:pt>
                <c:pt idx="19">
                  <c:v>-4.9902355139033468E-2</c:v>
                </c:pt>
                <c:pt idx="20">
                  <c:v>5.5457735670534913E-2</c:v>
                </c:pt>
                <c:pt idx="21">
                  <c:v>2.7244938954696925E-2</c:v>
                </c:pt>
                <c:pt idx="22">
                  <c:v>4.8173187726362095E-2</c:v>
                </c:pt>
                <c:pt idx="23">
                  <c:v>5.5254271840902897E-2</c:v>
                </c:pt>
                <c:pt idx="24">
                  <c:v>-0.11720082273124734</c:v>
                </c:pt>
                <c:pt idx="25">
                  <c:v>3.3259296331393899E-3</c:v>
                </c:pt>
                <c:pt idx="26">
                  <c:v>-4.0729551861927088E-2</c:v>
                </c:pt>
                <c:pt idx="27">
                  <c:v>1.7432340211010946E-3</c:v>
                </c:pt>
                <c:pt idx="28">
                  <c:v>2.9003121633266278E-3</c:v>
                </c:pt>
                <c:pt idx="29">
                  <c:v>5.8494769033053132E-2</c:v>
                </c:pt>
                <c:pt idx="30">
                  <c:v>-6.8319604978047357E-2</c:v>
                </c:pt>
                <c:pt idx="31">
                  <c:v>2.8976955942864618E-2</c:v>
                </c:pt>
                <c:pt idx="32">
                  <c:v>-7.4151656596224913E-2</c:v>
                </c:pt>
                <c:pt idx="33">
                  <c:v>-1.6906718147520768E-2</c:v>
                </c:pt>
                <c:pt idx="34">
                  <c:v>6.4649674997443521E-2</c:v>
                </c:pt>
                <c:pt idx="35">
                  <c:v>5.3587164616566693E-2</c:v>
                </c:pt>
                <c:pt idx="36">
                  <c:v>-6.5597294424479369E-2</c:v>
                </c:pt>
                <c:pt idx="37">
                  <c:v>0.14377693161987426</c:v>
                </c:pt>
                <c:pt idx="38">
                  <c:v>1.33444163144166E-2</c:v>
                </c:pt>
                <c:pt idx="39">
                  <c:v>-6.5066680218695952E-2</c:v>
                </c:pt>
                <c:pt idx="40">
                  <c:v>2.5955530091795982E-2</c:v>
                </c:pt>
                <c:pt idx="41">
                  <c:v>-6.3797870547156646E-2</c:v>
                </c:pt>
                <c:pt idx="42">
                  <c:v>-5.4605483702397602E-2</c:v>
                </c:pt>
                <c:pt idx="43">
                  <c:v>-6.5693419105611148E-2</c:v>
                </c:pt>
                <c:pt idx="44">
                  <c:v>3.2246952645908059E-2</c:v>
                </c:pt>
                <c:pt idx="45">
                  <c:v>0.16289147382858243</c:v>
                </c:pt>
                <c:pt idx="46">
                  <c:v>3.6952105229415583E-2</c:v>
                </c:pt>
                <c:pt idx="47">
                  <c:v>-5.0601974894044756E-2</c:v>
                </c:pt>
                <c:pt idx="48">
                  <c:v>-0.12849159939748375</c:v>
                </c:pt>
                <c:pt idx="49">
                  <c:v>-6.7475981354330498E-3</c:v>
                </c:pt>
                <c:pt idx="50">
                  <c:v>8.0984022578752646E-2</c:v>
                </c:pt>
                <c:pt idx="51">
                  <c:v>1.1772187861122222E-2</c:v>
                </c:pt>
                <c:pt idx="52">
                  <c:v>-1.6352162426936205E-2</c:v>
                </c:pt>
                <c:pt idx="53">
                  <c:v>-8.3751092242478647E-2</c:v>
                </c:pt>
                <c:pt idx="54">
                  <c:v>0.11448767650925809</c:v>
                </c:pt>
                <c:pt idx="55">
                  <c:v>1.2048180138694076E-2</c:v>
                </c:pt>
                <c:pt idx="56">
                  <c:v>7.2167558495511127E-3</c:v>
                </c:pt>
                <c:pt idx="57">
                  <c:v>-5.3509156802712191E-3</c:v>
                </c:pt>
                <c:pt idx="58">
                  <c:v>9.2721436489116363E-2</c:v>
                </c:pt>
                <c:pt idx="59">
                  <c:v>5.5024687345817822E-2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D-4B3A-A8B7-1755D0774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018440"/>
        <c:axId val="650015696"/>
      </c:scatterChart>
      <c:valAx>
        <c:axId val="6500184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Solutions!$D$79</c:f>
              <c:strCache>
                <c:ptCount val="1"/>
                <c:pt idx="0">
                  <c:v>S&amp;P 500</c:v>
                </c:pt>
              </c:strCache>
            </c:strRef>
          </c:tx>
          <c:layout>
            <c:manualLayout>
              <c:xMode val="edge"/>
              <c:yMode val="edge"/>
              <c:x val="0.40958333333333335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5696"/>
        <c:crosses val="autoZero"/>
        <c:crossBetween val="midCat"/>
        <c:majorUnit val="5.000000000000001E-2"/>
        <c:minorUnit val="5.000000000000001E-2"/>
      </c:valAx>
      <c:valAx>
        <c:axId val="650015696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Solutions!$G$79</c:f>
              <c:strCache>
                <c:ptCount val="1"/>
                <c:pt idx="0">
                  <c:v>GM</c:v>
                </c:pt>
              </c:strCache>
            </c:strRef>
          </c:tx>
          <c:layout>
            <c:manualLayout>
              <c:xMode val="edge"/>
              <c:yMode val="edge"/>
              <c:x val="1.4599686349658711E-2"/>
              <c:y val="0.47870516185476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Solutions!$H$79</c:f>
              <c:strCache>
                <c:ptCount val="1"/>
                <c:pt idx="0">
                  <c:v>PCG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68469951396481E-2"/>
                  <c:y val="-0.378269305393868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Solutions!$D$80:$D$139</c:f>
              <c:numCache>
                <c:formatCode>0.000</c:formatCode>
                <c:ptCount val="60"/>
                <c:pt idx="0">
                  <c:v>4.3583062218506295E-2</c:v>
                </c:pt>
                <c:pt idx="1">
                  <c:v>4.058946413084185E-2</c:v>
                </c:pt>
                <c:pt idx="2">
                  <c:v>3.1332314530530633E-2</c:v>
                </c:pt>
                <c:pt idx="3">
                  <c:v>-7.4974527092704279E-3</c:v>
                </c:pt>
                <c:pt idx="4">
                  <c:v>-6.2650725633177598E-2</c:v>
                </c:pt>
                <c:pt idx="5">
                  <c:v>3.9554982134591417E-2</c:v>
                </c:pt>
                <c:pt idx="6">
                  <c:v>1.2597574126154459E-2</c:v>
                </c:pt>
                <c:pt idx="7">
                  <c:v>1.9763369680148135E-2</c:v>
                </c:pt>
                <c:pt idx="8">
                  <c:v>2.4236153696477046E-2</c:v>
                </c:pt>
                <c:pt idx="9">
                  <c:v>-1.9789409878227443E-2</c:v>
                </c:pt>
                <c:pt idx="10">
                  <c:v>2.8467170173433272E-3</c:v>
                </c:pt>
                <c:pt idx="11">
                  <c:v>7.0682304638645639E-3</c:v>
                </c:pt>
                <c:pt idx="12">
                  <c:v>5.0428096519578497E-2</c:v>
                </c:pt>
                <c:pt idx="13">
                  <c:v>1.1060649195259101E-2</c:v>
                </c:pt>
                <c:pt idx="14">
                  <c:v>3.5987723516956123E-2</c:v>
                </c:pt>
                <c:pt idx="15">
                  <c:v>1.8085767859252408E-2</c:v>
                </c:pt>
                <c:pt idx="16">
                  <c:v>2.0762811721046208E-2</c:v>
                </c:pt>
                <c:pt idx="17">
                  <c:v>-1.4999301636062792E-2</c:v>
                </c:pt>
                <c:pt idx="18">
                  <c:v>4.9462079815225081E-2</c:v>
                </c:pt>
                <c:pt idx="19">
                  <c:v>-3.1298019033866906E-2</c:v>
                </c:pt>
                <c:pt idx="20">
                  <c:v>2.9749523177239098E-2</c:v>
                </c:pt>
                <c:pt idx="21">
                  <c:v>4.45957526180061E-2</c:v>
                </c:pt>
                <c:pt idx="22">
                  <c:v>2.8049471635186524E-2</c:v>
                </c:pt>
                <c:pt idx="23">
                  <c:v>2.3562791550492821E-2</c:v>
                </c:pt>
                <c:pt idx="24">
                  <c:v>-3.5582905675162646E-2</c:v>
                </c:pt>
                <c:pt idx="25">
                  <c:v>4.3117029976595334E-2</c:v>
                </c:pt>
                <c:pt idx="26">
                  <c:v>6.9321656079357136E-3</c:v>
                </c:pt>
                <c:pt idx="27">
                  <c:v>6.2007889650527552E-3</c:v>
                </c:pt>
                <c:pt idx="28">
                  <c:v>2.103028001299596E-2</c:v>
                </c:pt>
                <c:pt idx="29">
                  <c:v>1.9058331658920603E-2</c:v>
                </c:pt>
                <c:pt idx="30">
                  <c:v>-1.5079830581919834E-2</c:v>
                </c:pt>
                <c:pt idx="31">
                  <c:v>3.7655295489735195E-2</c:v>
                </c:pt>
                <c:pt idx="32">
                  <c:v>-1.5513837223063749E-2</c:v>
                </c:pt>
                <c:pt idx="33">
                  <c:v>2.3201460786772227E-2</c:v>
                </c:pt>
                <c:pt idx="34">
                  <c:v>2.4533588760364766E-2</c:v>
                </c:pt>
                <c:pt idx="35">
                  <c:v>-4.1885878779204062E-3</c:v>
                </c:pt>
                <c:pt idx="36">
                  <c:v>-3.1040805790470173E-2</c:v>
                </c:pt>
                <c:pt idx="37">
                  <c:v>5.4892511014553995E-2</c:v>
                </c:pt>
                <c:pt idx="38">
                  <c:v>-1.7396106913756221E-2</c:v>
                </c:pt>
                <c:pt idx="39">
                  <c:v>8.5208197301247391E-3</c:v>
                </c:pt>
                <c:pt idx="40">
                  <c:v>1.0491382393316857E-2</c:v>
                </c:pt>
                <c:pt idx="41">
                  <c:v>-2.1011672375900521E-2</c:v>
                </c:pt>
                <c:pt idx="42">
                  <c:v>1.9742029696721345E-2</c:v>
                </c:pt>
                <c:pt idx="43">
                  <c:v>-6.2580818167202831E-2</c:v>
                </c:pt>
                <c:pt idx="44">
                  <c:v>-2.6442831573227094E-2</c:v>
                </c:pt>
                <c:pt idx="45">
                  <c:v>8.2983117760394132E-2</c:v>
                </c:pt>
                <c:pt idx="46">
                  <c:v>5.0486926072401835E-4</c:v>
                </c:pt>
                <c:pt idx="47">
                  <c:v>-1.7530185176314418E-2</c:v>
                </c:pt>
                <c:pt idx="48">
                  <c:v>-5.073532197294639E-2</c:v>
                </c:pt>
                <c:pt idx="49">
                  <c:v>-4.1283604302991229E-3</c:v>
                </c:pt>
                <c:pt idx="50">
                  <c:v>6.5991114577365145E-2</c:v>
                </c:pt>
                <c:pt idx="51">
                  <c:v>2.6993984808732631E-3</c:v>
                </c:pt>
                <c:pt idx="52">
                  <c:v>1.5324602357572555E-2</c:v>
                </c:pt>
                <c:pt idx="53">
                  <c:v>9.1092112097811118E-4</c:v>
                </c:pt>
                <c:pt idx="54">
                  <c:v>3.5609801125254283E-2</c:v>
                </c:pt>
                <c:pt idx="55">
                  <c:v>-1.2192431360480338E-3</c:v>
                </c:pt>
                <c:pt idx="56">
                  <c:v>-1.2344508443253945E-3</c:v>
                </c:pt>
                <c:pt idx="57">
                  <c:v>-1.9425679279557545E-2</c:v>
                </c:pt>
                <c:pt idx="58">
                  <c:v>3.4174522187570479E-2</c:v>
                </c:pt>
                <c:pt idx="59">
                  <c:v>1.8200762196895176E-2</c:v>
                </c:pt>
              </c:numCache>
            </c:numRef>
          </c:xVal>
          <c:yVal>
            <c:numRef>
              <c:f>Solutions!$H$80:$H$139</c:f>
              <c:numCache>
                <c:formatCode>0.000</c:formatCode>
                <c:ptCount val="60"/>
                <c:pt idx="0">
                  <c:v>-1.3585636863570965E-2</c:v>
                </c:pt>
                <c:pt idx="1">
                  <c:v>2.508604109083017E-2</c:v>
                </c:pt>
                <c:pt idx="2">
                  <c:v>5.2459884489690807E-2</c:v>
                </c:pt>
                <c:pt idx="3">
                  <c:v>1.7737792830855893E-2</c:v>
                </c:pt>
                <c:pt idx="4">
                  <c:v>-1.0864588846156141E-2</c:v>
                </c:pt>
                <c:pt idx="5">
                  <c:v>4.6463173882544624E-2</c:v>
                </c:pt>
                <c:pt idx="6">
                  <c:v>1.9659811688128796E-2</c:v>
                </c:pt>
                <c:pt idx="7">
                  <c:v>-5.9575405814549537E-2</c:v>
                </c:pt>
                <c:pt idx="8">
                  <c:v>-6.5345775711104989E-3</c:v>
                </c:pt>
                <c:pt idx="9">
                  <c:v>-3.5153189653361469E-3</c:v>
                </c:pt>
                <c:pt idx="10">
                  <c:v>-3.6923710356449278E-2</c:v>
                </c:pt>
                <c:pt idx="11">
                  <c:v>-7.5877238815667712E-3</c:v>
                </c:pt>
                <c:pt idx="12">
                  <c:v>6.1224523011863555E-2</c:v>
                </c:pt>
                <c:pt idx="13">
                  <c:v>0</c:v>
                </c:pt>
                <c:pt idx="14">
                  <c:v>5.5340407917876151E-2</c:v>
                </c:pt>
                <c:pt idx="15">
                  <c:v>8.7805926470936269E-2</c:v>
                </c:pt>
                <c:pt idx="16">
                  <c:v>-7.2873606510751615E-2</c:v>
                </c:pt>
                <c:pt idx="17">
                  <c:v>2.8583151090254864E-2</c:v>
                </c:pt>
                <c:pt idx="18">
                  <c:v>3.4988456801218907E-3</c:v>
                </c:pt>
                <c:pt idx="19">
                  <c:v>-9.8714334336891155E-2</c:v>
                </c:pt>
                <c:pt idx="20">
                  <c:v>2.3106820113223396E-4</c:v>
                </c:pt>
                <c:pt idx="21">
                  <c:v>2.2727306665289153E-2</c:v>
                </c:pt>
                <c:pt idx="22">
                  <c:v>-3.5364406132794873E-2</c:v>
                </c:pt>
                <c:pt idx="23">
                  <c:v>9.0906155409447992E-3</c:v>
                </c:pt>
                <c:pt idx="24">
                  <c:v>4.6425030798226033E-2</c:v>
                </c:pt>
                <c:pt idx="25">
                  <c:v>4.5314380220818955E-2</c:v>
                </c:pt>
                <c:pt idx="26">
                  <c:v>-9.3393038825795339E-3</c:v>
                </c:pt>
                <c:pt idx="27">
                  <c:v>5.5092638567192466E-2</c:v>
                </c:pt>
                <c:pt idx="28">
                  <c:v>6.3623447615064801E-3</c:v>
                </c:pt>
                <c:pt idx="29">
                  <c:v>5.6996599381688634E-2</c:v>
                </c:pt>
                <c:pt idx="30">
                  <c:v>-6.9762631678673373E-2</c:v>
                </c:pt>
                <c:pt idx="31">
                  <c:v>4.051934224616989E-2</c:v>
                </c:pt>
                <c:pt idx="32">
                  <c:v>-2.1011505918819905E-2</c:v>
                </c:pt>
                <c:pt idx="33">
                  <c:v>0.1172291133512217</c:v>
                </c:pt>
                <c:pt idx="34">
                  <c:v>3.5770911181151463E-3</c:v>
                </c:pt>
                <c:pt idx="35">
                  <c:v>6.3074452436620576E-2</c:v>
                </c:pt>
                <c:pt idx="36">
                  <c:v>0.10462057104926049</c:v>
                </c:pt>
                <c:pt idx="37">
                  <c:v>-8.6379883848651209E-2</c:v>
                </c:pt>
                <c:pt idx="38">
                  <c:v>-3.6269696971942661E-3</c:v>
                </c:pt>
                <c:pt idx="39">
                  <c:v>-2.8264367195452648E-3</c:v>
                </c:pt>
                <c:pt idx="40">
                  <c:v>1.0393043618834471E-2</c:v>
                </c:pt>
                <c:pt idx="41">
                  <c:v>-7.3226463504839717E-2</c:v>
                </c:pt>
                <c:pt idx="42">
                  <c:v>6.9450113092627122E-2</c:v>
                </c:pt>
                <c:pt idx="43">
                  <c:v>-5.579879630717282E-2</c:v>
                </c:pt>
                <c:pt idx="44">
                  <c:v>7.4181136252424243E-2</c:v>
                </c:pt>
                <c:pt idx="45">
                  <c:v>1.1363666146642236E-2</c:v>
                </c:pt>
                <c:pt idx="46">
                  <c:v>-1.2546868298963419E-2</c:v>
                </c:pt>
                <c:pt idx="47">
                  <c:v>1.7298566609248327E-2</c:v>
                </c:pt>
                <c:pt idx="48">
                  <c:v>3.2336911672319252E-2</c:v>
                </c:pt>
                <c:pt idx="49">
                  <c:v>3.3145099966213037E-2</c:v>
                </c:pt>
                <c:pt idx="50">
                  <c:v>6.0954929465662069E-2</c:v>
                </c:pt>
                <c:pt idx="51">
                  <c:v>-2.5452177149687068E-2</c:v>
                </c:pt>
                <c:pt idx="52">
                  <c:v>3.2302464231843957E-2</c:v>
                </c:pt>
                <c:pt idx="53">
                  <c:v>7.2231853751045266E-2</c:v>
                </c:pt>
                <c:pt idx="54">
                  <c:v>3.1289272704527359E-4</c:v>
                </c:pt>
                <c:pt idx="55">
                  <c:v>-3.1279309511838341E-2</c:v>
                </c:pt>
                <c:pt idx="56">
                  <c:v>-4.6714491070683657E-3</c:v>
                </c:pt>
                <c:pt idx="57">
                  <c:v>1.5530505627618065E-2</c:v>
                </c:pt>
                <c:pt idx="58">
                  <c:v>-5.3444975613526222E-2</c:v>
                </c:pt>
                <c:pt idx="59">
                  <c:v>-1.2925132462207771E-2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9E-4AAD-AFEF-9CCD51D73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013736"/>
        <c:axId val="650018048"/>
      </c:scatterChart>
      <c:valAx>
        <c:axId val="6500137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Solutions!$D$79</c:f>
              <c:strCache>
                <c:ptCount val="1"/>
                <c:pt idx="0">
                  <c:v>S&amp;P 500</c:v>
                </c:pt>
              </c:strCache>
            </c:strRef>
          </c:tx>
          <c:layout>
            <c:manualLayout>
              <c:xMode val="edge"/>
              <c:yMode val="edge"/>
              <c:x val="0.40958333333333335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8048"/>
        <c:crosses val="autoZero"/>
        <c:crossBetween val="midCat"/>
        <c:majorUnit val="5.000000000000001E-2"/>
        <c:minorUnit val="5.000000000000001E-2"/>
      </c:valAx>
      <c:valAx>
        <c:axId val="650018048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Solutions!$H$79</c:f>
              <c:strCache>
                <c:ptCount val="1"/>
                <c:pt idx="0">
                  <c:v>PCG</c:v>
                </c:pt>
              </c:strCache>
            </c:strRef>
          </c:tx>
          <c:layout>
            <c:manualLayout>
              <c:xMode val="edge"/>
              <c:yMode val="edge"/>
              <c:x val="1.4599686349658711E-2"/>
              <c:y val="0.47870516185476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3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openxmlformats.org/officeDocument/2006/relationships/image" Target="../media/image3.jpeg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586740</xdr:colOff>
      <xdr:row>6</xdr:row>
      <xdr:rowOff>45720</xdr:rowOff>
    </xdr:from>
    <xdr:to>
      <xdr:col>5</xdr:col>
      <xdr:colOff>533400</xdr:colOff>
      <xdr:row>14</xdr:row>
      <xdr:rowOff>91440</xdr:rowOff>
    </xdr:to>
    <xdr:pic>
      <xdr:nvPicPr>
        <xdr:cNvPr id="3273" name="Picture 1">
          <a:extLs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1580" y="1051560"/>
          <a:ext cx="2446020" cy="160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9525</xdr:colOff>
      <xdr:row>10</xdr:row>
      <xdr:rowOff>9525</xdr:rowOff>
    </xdr:from>
    <xdr:to>
      <xdr:col>11</xdr:col>
      <xdr:colOff>207645</xdr:colOff>
      <xdr:row>14</xdr:row>
      <xdr:rowOff>131445</xdr:rowOff>
    </xdr:to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 txBox="1">
          <a:spLocks noChangeArrowheads="1"/>
        </xdr:cNvSpPr>
      </xdr:nvSpPr>
      <xdr:spPr bwMode="auto">
        <a:xfrm>
          <a:off x="3667125" y="1895475"/>
          <a:ext cx="3238500" cy="762000"/>
        </a:xfrm>
        <a:prstGeom prst="rect">
          <a:avLst/>
        </a:prstGeom>
        <a:solidFill>
          <a:srgbClr val="C0C0C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This software uses risk/return data creating hundreds or thousands of portfolios using randomly generated weights. It identifies the optimal portfolio using mean, variance, and covariance to find the highest portfolio </a:t>
          </a:r>
          <a:r>
            <a:rPr lang="en-US" sz="900" b="1" i="0" strike="noStrike">
              <a:solidFill>
                <a:srgbClr val="000000"/>
              </a:solidFill>
              <a:latin typeface="Arial"/>
              <a:cs typeface="Arial"/>
            </a:rPr>
            <a:t>Sharpe Ratio </a:t>
          </a: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from all random combinations.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152400</xdr:rowOff>
        </xdr:from>
        <xdr:to>
          <xdr:col>1</xdr:col>
          <xdr:colOff>400050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297180</xdr:colOff>
      <xdr:row>7</xdr:row>
      <xdr:rowOff>116205</xdr:rowOff>
    </xdr:from>
    <xdr:to>
      <xdr:col>2</xdr:col>
      <xdr:colOff>306705</xdr:colOff>
      <xdr:row>11</xdr:row>
      <xdr:rowOff>135255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 bwMode="auto">
        <a:xfrm flipH="1" flipV="1">
          <a:off x="1272540" y="1327785"/>
          <a:ext cx="9525" cy="68961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3</xdr:col>
      <xdr:colOff>266700</xdr:colOff>
      <xdr:row>8</xdr:row>
      <xdr:rowOff>144780</xdr:rowOff>
    </xdr:from>
    <xdr:to>
      <xdr:col>3</xdr:col>
      <xdr:colOff>285750</xdr:colOff>
      <xdr:row>15</xdr:row>
      <xdr:rowOff>85726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 bwMode="auto">
        <a:xfrm flipH="1" flipV="1">
          <a:off x="1798320" y="1524000"/>
          <a:ext cx="19050" cy="11144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4</xdr:col>
      <xdr:colOff>106680</xdr:colOff>
      <xdr:row>6</xdr:row>
      <xdr:rowOff>85725</xdr:rowOff>
    </xdr:from>
    <xdr:to>
      <xdr:col>5</xdr:col>
      <xdr:colOff>352426</xdr:colOff>
      <xdr:row>6</xdr:row>
      <xdr:rowOff>91440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2186940" y="1129665"/>
          <a:ext cx="802006" cy="571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266700</xdr:colOff>
      <xdr:row>8</xdr:row>
      <xdr:rowOff>66677</xdr:rowOff>
    </xdr:from>
    <xdr:to>
      <xdr:col>1</xdr:col>
      <xdr:colOff>276225</xdr:colOff>
      <xdr:row>19</xdr:row>
      <xdr:rowOff>28575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 flipH="1" flipV="1">
          <a:off x="647700" y="1409702"/>
          <a:ext cx="9525" cy="18002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5</xdr:row>
      <xdr:rowOff>144780</xdr:rowOff>
    </xdr:from>
    <xdr:to>
      <xdr:col>11</xdr:col>
      <xdr:colOff>480060</xdr:colOff>
      <xdr:row>44</xdr:row>
      <xdr:rowOff>129540</xdr:rowOff>
    </xdr:to>
    <xdr:graphicFrame macro="">
      <xdr:nvGraphicFramePr>
        <xdr:cNvPr id="2480" name="Chart 1">
          <a:extLst>
            <a:ext uri="{FF2B5EF4-FFF2-40B4-BE49-F238E27FC236}">
              <a16:creationId xmlns:a16="http://schemas.microsoft.com/office/drawing/2014/main" id="{00000000-0008-0000-0400-0000B0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302895</xdr:colOff>
      <xdr:row>8</xdr:row>
      <xdr:rowOff>28575</xdr:rowOff>
    </xdr:from>
    <xdr:to>
      <xdr:col>1</xdr:col>
      <xdr:colOff>453421</xdr:colOff>
      <xdr:row>10</xdr:row>
      <xdr:rowOff>93321</xdr:rowOff>
    </xdr:to>
    <xdr:sp macro="" textlink="">
      <xdr:nvSpPr>
        <xdr:cNvPr id="2053" name="Text Box 5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SpPr txBox="1">
          <a:spLocks noChangeArrowheads="1"/>
        </xdr:cNvSpPr>
      </xdr:nvSpPr>
      <xdr:spPr bwMode="auto">
        <a:xfrm>
          <a:off x="295275" y="1323975"/>
          <a:ext cx="752475" cy="3810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Mean Return</a:t>
          </a:r>
        </a:p>
      </xdr:txBody>
    </xdr:sp>
    <xdr:clientData/>
  </xdr:twoCellAnchor>
  <xdr:twoCellAnchor>
    <xdr:from>
      <xdr:col>3</xdr:col>
      <xdr:colOff>621665</xdr:colOff>
      <xdr:row>41</xdr:row>
      <xdr:rowOff>156845</xdr:rowOff>
    </xdr:from>
    <xdr:to>
      <xdr:col>7</xdr:col>
      <xdr:colOff>137790</xdr:colOff>
      <xdr:row>43</xdr:row>
      <xdr:rowOff>12582</xdr:rowOff>
    </xdr:to>
    <xdr:sp macro="" textlink="">
      <xdr:nvSpPr>
        <xdr:cNvPr id="2054" name="Text Box 6">
          <a:extLs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 txBox="1">
          <a:spLocks noChangeArrowheads="1"/>
        </xdr:cNvSpPr>
      </xdr:nvSpPr>
      <xdr:spPr bwMode="auto">
        <a:xfrm>
          <a:off x="2435225" y="6918325"/>
          <a:ext cx="1962150" cy="193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Portfolio Standard Deviation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</xdr:colOff>
      <xdr:row>44</xdr:row>
      <xdr:rowOff>7620</xdr:rowOff>
    </xdr:from>
    <xdr:to>
      <xdr:col>19</xdr:col>
      <xdr:colOff>99060</xdr:colOff>
      <xdr:row>64</xdr:row>
      <xdr:rowOff>83820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137160</xdr:colOff>
      <xdr:row>47</xdr:row>
      <xdr:rowOff>106680</xdr:rowOff>
    </xdr:from>
    <xdr:to>
      <xdr:col>19</xdr:col>
      <xdr:colOff>190502</xdr:colOff>
      <xdr:row>51</xdr:row>
      <xdr:rowOff>60935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500360" y="8138160"/>
          <a:ext cx="1272542" cy="62481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000"/>
            <a:t>Risk and Reward</a:t>
          </a:r>
          <a:r>
            <a:rPr lang="en-US" sz="1000" baseline="0"/>
            <a:t> for:</a:t>
          </a:r>
        </a:p>
        <a:p>
          <a:pPr algn="l"/>
          <a:r>
            <a:rPr lang="en-US" sz="1000" baseline="0"/>
            <a:t>0% Bonds, 100% Stocks</a:t>
          </a:r>
          <a:endParaRPr lang="en-US" sz="1000"/>
        </a:p>
      </xdr:txBody>
    </xdr:sp>
    <xdr:clientData/>
  </xdr:twoCellAnchor>
  <xdr:twoCellAnchor>
    <xdr:from>
      <xdr:col>14</xdr:col>
      <xdr:colOff>388620</xdr:colOff>
      <xdr:row>56</xdr:row>
      <xdr:rowOff>137160</xdr:rowOff>
    </xdr:from>
    <xdr:to>
      <xdr:col>16</xdr:col>
      <xdr:colOff>441963</xdr:colOff>
      <xdr:row>60</xdr:row>
      <xdr:rowOff>91416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8923020" y="9677400"/>
          <a:ext cx="1272543" cy="62481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000"/>
            <a:t>Risk and Reward</a:t>
          </a:r>
          <a:r>
            <a:rPr lang="en-US" sz="1000" baseline="0"/>
            <a:t> for:</a:t>
          </a:r>
        </a:p>
        <a:p>
          <a:r>
            <a:rPr lang="en-US" sz="1000" baseline="0"/>
            <a:t>100% Bonds, 0% Stocks</a:t>
          </a:r>
          <a:endParaRPr lang="en-US" sz="1000"/>
        </a:p>
      </xdr:txBody>
    </xdr:sp>
    <xdr:clientData/>
  </xdr:twoCellAnchor>
  <xdr:twoCellAnchor editAs="oneCell">
    <xdr:from>
      <xdr:col>3</xdr:col>
      <xdr:colOff>297180</xdr:colOff>
      <xdr:row>44</xdr:row>
      <xdr:rowOff>15810</xdr:rowOff>
    </xdr:from>
    <xdr:to>
      <xdr:col>9</xdr:col>
      <xdr:colOff>236220</xdr:colOff>
      <xdr:row>58</xdr:row>
      <xdr:rowOff>106679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0503" t="29557" r="38325" b="32882"/>
        <a:stretch/>
      </xdr:blipFill>
      <xdr:spPr>
        <a:xfrm>
          <a:off x="2125980" y="739710"/>
          <a:ext cx="3596640" cy="2437829"/>
        </a:xfrm>
        <a:prstGeom prst="rect">
          <a:avLst/>
        </a:prstGeom>
      </xdr:spPr>
    </xdr:pic>
    <xdr:clientData/>
  </xdr:twoCellAnchor>
  <xdr:twoCellAnchor>
    <xdr:from>
      <xdr:col>2</xdr:col>
      <xdr:colOff>533400</xdr:colOff>
      <xdr:row>58</xdr:row>
      <xdr:rowOff>160020</xdr:rowOff>
    </xdr:from>
    <xdr:to>
      <xdr:col>10</xdr:col>
      <xdr:colOff>502920</xdr:colOff>
      <xdr:row>73</xdr:row>
      <xdr:rowOff>114300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752600" y="3230880"/>
          <a:ext cx="4846320" cy="25222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Compare your chart results to the above representation of Risk</a:t>
          </a:r>
          <a:r>
            <a:rPr lang="en-US" sz="1100" baseline="0"/>
            <a:t> and Reward under various levels of return correlation that is typically shown in finance textbooks.  A correlation coefficient of -1.0  between stocks and bonds (green line) allows for the complete elimination of risk, i.e. a combiniation can be found that generates zero standard deviation, but with a positive return. A correlation coefficient of +1.0 (blue line) does not allow for any of the benefits of diversification. In other words, if you change bond/stock percentages, you simply get a commensurate change in risk and reward (a linear relationship). Correlation between -1.0 and +1.0 (the red line) allows for some benefits of diversification to be realized, i.e. some reduction in risk without a commensurate reduction in reward. </a:t>
          </a:r>
          <a:r>
            <a:rPr lang="en-US" sz="1100" b="1" baseline="0"/>
            <a:t>Check the correlation coefficient that you computed in Item 3 in this Task and compare your chart in Item 1 with the textbook chart shown above. Does the data (roughly) fit the shape of the graphical profile shown above?</a:t>
          </a:r>
          <a:endParaRPr lang="en-US" sz="1100" b="1"/>
        </a:p>
      </xdr:txBody>
    </xdr:sp>
    <xdr:clientData/>
  </xdr:twoCellAnchor>
  <xdr:twoCellAnchor>
    <xdr:from>
      <xdr:col>19</xdr:col>
      <xdr:colOff>548640</xdr:colOff>
      <xdr:row>64</xdr:row>
      <xdr:rowOff>53340</xdr:rowOff>
    </xdr:from>
    <xdr:to>
      <xdr:col>28</xdr:col>
      <xdr:colOff>160020</xdr:colOff>
      <xdr:row>72</xdr:row>
      <xdr:rowOff>144780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2131040" y="10934700"/>
          <a:ext cx="5097780" cy="1432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Question: By</a:t>
          </a:r>
          <a:r>
            <a:rPr lang="en-US" sz="1100" baseline="0"/>
            <a:t> combining stocks and bonds into one portfolio at the optimal, did you observe your returns fall from those realized in a 100% portfolio of stocks? But what about the change in risk at the same time? Question: Did risk (standard deviation) fall more in % terms than the % fall in returns? If so, then you just observed the benefits from diversification when correlation is less than perfect positive +1.0. In other words by diversifying your portfolio with low correlated securities, you can earn a better Sharpe ratio, or reward-to-risk ratio.</a:t>
          </a:r>
          <a:endParaRPr lang="en-US" sz="1100"/>
        </a:p>
      </xdr:txBody>
    </xdr:sp>
    <xdr:clientData/>
  </xdr:twoCellAnchor>
  <xdr:twoCellAnchor>
    <xdr:from>
      <xdr:col>17</xdr:col>
      <xdr:colOff>7620</xdr:colOff>
      <xdr:row>1</xdr:row>
      <xdr:rowOff>137160</xdr:rowOff>
    </xdr:from>
    <xdr:to>
      <xdr:col>24</xdr:col>
      <xdr:colOff>312420</xdr:colOff>
      <xdr:row>17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19</xdr:row>
      <xdr:rowOff>0</xdr:rowOff>
    </xdr:from>
    <xdr:to>
      <xdr:col>24</xdr:col>
      <xdr:colOff>304800</xdr:colOff>
      <xdr:row>35</xdr:row>
      <xdr:rowOff>15240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38100</xdr:colOff>
      <xdr:row>26</xdr:row>
      <xdr:rowOff>7620</xdr:rowOff>
    </xdr:from>
    <xdr:to>
      <xdr:col>15</xdr:col>
      <xdr:colOff>533400</xdr:colOff>
      <xdr:row>36</xdr:row>
      <xdr:rowOff>137160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24500" y="4465320"/>
          <a:ext cx="4152900" cy="1805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do you observe about</a:t>
          </a:r>
          <a:r>
            <a:rPr lang="en-US" sz="1100" baseline="0"/>
            <a:t> the pattern of risk and reward over the long sample period? How does this compare to the pattern over the short sample period  - an era that includes the great recession? </a:t>
          </a:r>
        </a:p>
        <a:p>
          <a:endParaRPr lang="en-US" sz="1100" baseline="0"/>
        </a:p>
        <a:p>
          <a:r>
            <a:rPr lang="en-US" sz="1100" baseline="0"/>
            <a:t>Take particular note of risk/reward of T-bonds in the short sample vs risk/reward of Big Stocks. Ask yourself, if you can get more reward from owning T-Bonds, and do so with smaller risk than by owning Big Stocks, then is there any reason for anybody to ever own Big Stocks? Can this situation last for a very long time?</a:t>
          </a:r>
          <a:endParaRPr lang="en-US" sz="1100"/>
        </a:p>
      </xdr:txBody>
    </xdr:sp>
    <xdr:clientData/>
  </xdr:twoCellAnchor>
  <xdr:twoCellAnchor editAs="oneCell">
    <xdr:from>
      <xdr:col>0</xdr:col>
      <xdr:colOff>556260</xdr:colOff>
      <xdr:row>4</xdr:row>
      <xdr:rowOff>7620</xdr:rowOff>
    </xdr:from>
    <xdr:to>
      <xdr:col>8</xdr:col>
      <xdr:colOff>396240</xdr:colOff>
      <xdr:row>21</xdr:row>
      <xdr:rowOff>39235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5460" y="6675120"/>
          <a:ext cx="4716780" cy="2904355"/>
        </a:xfrm>
        <a:prstGeom prst="rect">
          <a:avLst/>
        </a:prstGeom>
      </xdr:spPr>
    </xdr:pic>
    <xdr:clientData/>
  </xdr:twoCellAnchor>
  <xdr:twoCellAnchor>
    <xdr:from>
      <xdr:col>19</xdr:col>
      <xdr:colOff>579120</xdr:colOff>
      <xdr:row>76</xdr:row>
      <xdr:rowOff>99060</xdr:rowOff>
    </xdr:from>
    <xdr:to>
      <xdr:col>30</xdr:col>
      <xdr:colOff>556260</xdr:colOff>
      <xdr:row>85</xdr:row>
      <xdr:rowOff>7620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12161520" y="13045440"/>
          <a:ext cx="6682740" cy="1478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Question: </a:t>
          </a:r>
          <a:r>
            <a:rPr lang="en-US" sz="1100"/>
            <a:t>Which of the 4 US</a:t>
          </a:r>
          <a:r>
            <a:rPr lang="en-US" sz="1100" baseline="0"/>
            <a:t> companies reflects the most and least systematic risk over the 5 year period? Based on your general knowledge about these companies and their respective industry groups, are the answers surprising to you? </a:t>
          </a:r>
        </a:p>
        <a:p>
          <a:endParaRPr lang="en-US" sz="1100" baseline="0"/>
        </a:p>
        <a:p>
          <a:r>
            <a:rPr lang="en-US" sz="1100" baseline="0"/>
            <a:t>Question: Do you think this pattern of systematic risk will likely continue into the future - in other words, do you think the company betas are "true" for our use when using CAPM to compute each company's </a:t>
          </a:r>
          <a:r>
            <a:rPr lang="en-US" sz="1100" b="1" i="1" baseline="0"/>
            <a:t>future</a:t>
          </a:r>
          <a:r>
            <a:rPr lang="en-US" sz="1100" baseline="0"/>
            <a:t> equity cost of capital? </a:t>
          </a:r>
        </a:p>
        <a:p>
          <a:endParaRPr lang="en-US" sz="1100" baseline="0"/>
        </a:p>
      </xdr:txBody>
    </xdr:sp>
    <xdr:clientData/>
  </xdr:twoCellAnchor>
  <xdr:twoCellAnchor>
    <xdr:from>
      <xdr:col>12</xdr:col>
      <xdr:colOff>7620</xdr:colOff>
      <xdr:row>88</xdr:row>
      <xdr:rowOff>160020</xdr:rowOff>
    </xdr:from>
    <xdr:to>
      <xdr:col>20</xdr:col>
      <xdr:colOff>15240</xdr:colOff>
      <xdr:row>108</xdr:row>
      <xdr:rowOff>7620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89</xdr:row>
      <xdr:rowOff>0</xdr:rowOff>
    </xdr:from>
    <xdr:to>
      <xdr:col>30</xdr:col>
      <xdr:colOff>15240</xdr:colOff>
      <xdr:row>108</xdr:row>
      <xdr:rowOff>15240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0</xdr:colOff>
      <xdr:row>89</xdr:row>
      <xdr:rowOff>0</xdr:rowOff>
    </xdr:from>
    <xdr:to>
      <xdr:col>40</xdr:col>
      <xdr:colOff>7620</xdr:colOff>
      <xdr:row>108</xdr:row>
      <xdr:rowOff>15240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89</xdr:row>
      <xdr:rowOff>0</xdr:rowOff>
    </xdr:from>
    <xdr:to>
      <xdr:col>50</xdr:col>
      <xdr:colOff>7620</xdr:colOff>
      <xdr:row>108</xdr:row>
      <xdr:rowOff>15240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19"/>
  <sheetViews>
    <sheetView showRowColHeaders="0" workbookViewId="0">
      <selection activeCell="M11" sqref="M11"/>
    </sheetView>
  </sheetViews>
  <sheetFormatPr defaultColWidth="9.140625" defaultRowHeight="12.75" x14ac:dyDescent="0.2"/>
  <cols>
    <col min="1" max="16384" width="9.140625" style="11"/>
  </cols>
  <sheetData>
    <row r="1" spans="1:22" x14ac:dyDescent="0.2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22" x14ac:dyDescent="0.2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22" x14ac:dyDescent="0.2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 x14ac:dyDescent="0.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</row>
    <row r="5" spans="1:22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</row>
    <row r="7" spans="1:22" ht="18" x14ac:dyDescent="0.25">
      <c r="G7" s="12"/>
    </row>
    <row r="8" spans="1:22" ht="18" x14ac:dyDescent="0.25">
      <c r="G8" s="12" t="s">
        <v>13</v>
      </c>
    </row>
    <row r="9" spans="1:22" ht="18" x14ac:dyDescent="0.25">
      <c r="G9" s="12" t="s">
        <v>9</v>
      </c>
    </row>
    <row r="10" spans="1:22" ht="18" x14ac:dyDescent="0.25">
      <c r="G10" s="12" t="s">
        <v>10</v>
      </c>
    </row>
    <row r="16" spans="1:22" x14ac:dyDescent="0.2">
      <c r="E16" s="13"/>
      <c r="F16" s="13"/>
      <c r="G16" s="13"/>
      <c r="H16" s="13"/>
      <c r="I16" s="13"/>
    </row>
    <row r="17" spans="7:7" x14ac:dyDescent="0.2">
      <c r="G17" s="14"/>
    </row>
    <row r="18" spans="7:7" x14ac:dyDescent="0.2">
      <c r="G18" s="14"/>
    </row>
    <row r="19" spans="7:7" x14ac:dyDescent="0.2">
      <c r="G19" s="14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237"/>
  <sheetViews>
    <sheetView topLeftCell="H211" workbookViewId="0">
      <selection activeCell="H61" sqref="H61"/>
    </sheetView>
  </sheetViews>
  <sheetFormatPr defaultRowHeight="12.75" x14ac:dyDescent="0.2"/>
  <cols>
    <col min="2" max="2" width="13.5703125" customWidth="1"/>
    <col min="4" max="4" width="9.28515625" customWidth="1"/>
    <col min="5" max="5" width="9.42578125" customWidth="1"/>
    <col min="6" max="7" width="10.7109375" customWidth="1"/>
    <col min="9" max="9" width="15.28515625" customWidth="1"/>
    <col min="10" max="10" width="10.140625" customWidth="1"/>
  </cols>
  <sheetData>
    <row r="1" spans="1:11" ht="15" x14ac:dyDescent="0.25">
      <c r="A1" s="62" t="s">
        <v>17</v>
      </c>
      <c r="B1" s="59" t="s">
        <v>29</v>
      </c>
      <c r="C1" s="61" t="s">
        <v>27</v>
      </c>
      <c r="D1" s="61" t="s">
        <v>28</v>
      </c>
      <c r="E1" s="61" t="s">
        <v>26</v>
      </c>
      <c r="F1" s="61" t="s">
        <v>25</v>
      </c>
      <c r="G1" s="109"/>
      <c r="H1" s="62" t="s">
        <v>18</v>
      </c>
      <c r="I1" s="60" t="s">
        <v>30</v>
      </c>
      <c r="J1" s="48" t="s">
        <v>14</v>
      </c>
      <c r="K1" s="48" t="s">
        <v>15</v>
      </c>
    </row>
    <row r="2" spans="1:11" x14ac:dyDescent="0.2">
      <c r="B2">
        <v>1928</v>
      </c>
      <c r="C2">
        <v>3.54</v>
      </c>
      <c r="D2">
        <v>0.84</v>
      </c>
      <c r="E2">
        <v>31.84</v>
      </c>
      <c r="F2">
        <v>40.450000000000003</v>
      </c>
      <c r="I2" s="45">
        <v>33913</v>
      </c>
      <c r="J2" s="36">
        <v>13.157267199236911</v>
      </c>
      <c r="K2" s="36">
        <v>-4.4524236983841998</v>
      </c>
    </row>
    <row r="3" spans="1:11" x14ac:dyDescent="0.2">
      <c r="B3">
        <v>1929</v>
      </c>
      <c r="C3">
        <v>4.74</v>
      </c>
      <c r="D3">
        <v>4.2</v>
      </c>
      <c r="E3">
        <v>0.62</v>
      </c>
      <c r="F3">
        <v>-30.79</v>
      </c>
      <c r="I3" s="45">
        <v>33943</v>
      </c>
      <c r="J3" s="36">
        <v>5.4607238817765174</v>
      </c>
      <c r="K3" s="36">
        <v>0.25858520785240197</v>
      </c>
    </row>
    <row r="4" spans="1:11" x14ac:dyDescent="0.2">
      <c r="B4">
        <v>1930</v>
      </c>
      <c r="C4">
        <v>2.4300000000000002</v>
      </c>
      <c r="D4">
        <v>4.54</v>
      </c>
      <c r="E4">
        <v>-29.4</v>
      </c>
      <c r="F4">
        <v>-32.06</v>
      </c>
      <c r="I4" s="45">
        <v>33974</v>
      </c>
      <c r="J4" s="36">
        <v>4.0939178219058281</v>
      </c>
      <c r="K4" s="36">
        <v>1.7099356543002713</v>
      </c>
    </row>
    <row r="5" spans="1:11" x14ac:dyDescent="0.2">
      <c r="B5">
        <v>1931</v>
      </c>
      <c r="C5">
        <v>1.0900000000000001</v>
      </c>
      <c r="D5">
        <v>2.56</v>
      </c>
      <c r="E5">
        <v>-60.14</v>
      </c>
      <c r="F5">
        <v>-48.69</v>
      </c>
      <c r="I5" s="45">
        <v>34005</v>
      </c>
      <c r="J5" s="36">
        <v>5.0727072035321754</v>
      </c>
      <c r="K5" s="36">
        <v>2.1242991392245179</v>
      </c>
    </row>
    <row r="6" spans="1:11" x14ac:dyDescent="0.2">
      <c r="B6">
        <v>1932</v>
      </c>
      <c r="C6">
        <v>0.95</v>
      </c>
      <c r="D6">
        <v>8.7900000000000009</v>
      </c>
      <c r="E6">
        <v>-16.72</v>
      </c>
      <c r="F6">
        <v>-8.9499999999999993</v>
      </c>
      <c r="I6" s="45">
        <v>34033</v>
      </c>
      <c r="J6" s="36">
        <v>1.1258792363204546</v>
      </c>
      <c r="K6" s="36">
        <v>2.3954359555967941</v>
      </c>
    </row>
    <row r="7" spans="1:11" x14ac:dyDescent="0.2">
      <c r="B7">
        <v>1933</v>
      </c>
      <c r="C7">
        <v>0.3</v>
      </c>
      <c r="D7">
        <v>1.8599999999999999</v>
      </c>
      <c r="E7">
        <v>89.57</v>
      </c>
      <c r="F7">
        <v>118.81</v>
      </c>
      <c r="I7" s="45">
        <v>34064</v>
      </c>
      <c r="J7" s="36">
        <v>-3.8888010659199264</v>
      </c>
      <c r="K7" s="36">
        <v>-1.6152581056588553</v>
      </c>
    </row>
    <row r="8" spans="1:11" x14ac:dyDescent="0.2">
      <c r="B8">
        <v>1934</v>
      </c>
      <c r="C8">
        <v>0.18</v>
      </c>
      <c r="D8">
        <v>7.9600000000000009</v>
      </c>
      <c r="E8">
        <v>-2.9</v>
      </c>
      <c r="F8">
        <v>19.79</v>
      </c>
      <c r="I8" s="45">
        <v>34094</v>
      </c>
      <c r="J8" s="36">
        <v>-1.8280504711106871</v>
      </c>
      <c r="K8" s="36">
        <v>1.4857016144851558</v>
      </c>
    </row>
    <row r="9" spans="1:11" x14ac:dyDescent="0.2">
      <c r="B9">
        <v>1935</v>
      </c>
      <c r="C9">
        <v>0.14000000000000001</v>
      </c>
      <c r="D9">
        <v>4.47</v>
      </c>
      <c r="E9">
        <v>47.22</v>
      </c>
      <c r="F9">
        <v>76.010000000000005</v>
      </c>
      <c r="I9" s="45">
        <v>34125</v>
      </c>
      <c r="J9" s="36">
        <v>4.8586678155142318</v>
      </c>
      <c r="K9" s="36">
        <v>-1.2815879925709845</v>
      </c>
    </row>
    <row r="10" spans="1:11" x14ac:dyDescent="0.2">
      <c r="B10">
        <v>1936</v>
      </c>
      <c r="C10">
        <v>0.18</v>
      </c>
      <c r="D10">
        <v>5.0200000000000005</v>
      </c>
      <c r="E10">
        <v>38.1</v>
      </c>
      <c r="F10">
        <v>48.14</v>
      </c>
      <c r="I10" s="45">
        <v>34155</v>
      </c>
      <c r="J10" s="36">
        <v>3.439775398872428</v>
      </c>
      <c r="K10" s="36">
        <v>2.5317533285660687</v>
      </c>
    </row>
    <row r="11" spans="1:11" x14ac:dyDescent="0.2">
      <c r="B11">
        <v>1937</v>
      </c>
      <c r="C11">
        <v>0.28999999999999998</v>
      </c>
      <c r="D11">
        <v>1.38</v>
      </c>
      <c r="E11">
        <v>-31.77</v>
      </c>
      <c r="F11">
        <v>-48.66</v>
      </c>
      <c r="I11" s="45">
        <v>34186</v>
      </c>
      <c r="J11" s="36">
        <v>3.9895847124762756</v>
      </c>
      <c r="K11" s="36">
        <v>-0.72399993357798764</v>
      </c>
    </row>
    <row r="12" spans="1:11" x14ac:dyDescent="0.2">
      <c r="B12">
        <v>1938</v>
      </c>
      <c r="C12">
        <v>-0.04</v>
      </c>
      <c r="D12">
        <v>4.21</v>
      </c>
      <c r="E12">
        <v>20.43</v>
      </c>
      <c r="F12">
        <v>44</v>
      </c>
      <c r="I12" s="45">
        <v>34217</v>
      </c>
      <c r="J12" s="36">
        <v>-0.83817850019097495</v>
      </c>
      <c r="K12" s="36">
        <v>3.7066153717487684</v>
      </c>
    </row>
    <row r="13" spans="1:11" x14ac:dyDescent="0.2">
      <c r="B13">
        <v>1939</v>
      </c>
      <c r="C13">
        <v>0.01</v>
      </c>
      <c r="D13">
        <v>4.41</v>
      </c>
      <c r="E13">
        <v>-3.47</v>
      </c>
      <c r="F13">
        <v>1.24</v>
      </c>
      <c r="I13" s="45">
        <v>34247</v>
      </c>
      <c r="J13" s="36">
        <v>-2.781879266439739E-2</v>
      </c>
      <c r="K13" s="36">
        <v>-0.30241447718585185</v>
      </c>
    </row>
    <row r="14" spans="1:11" x14ac:dyDescent="0.2">
      <c r="B14">
        <v>1940</v>
      </c>
      <c r="C14">
        <v>-0.02</v>
      </c>
      <c r="D14">
        <v>5.4</v>
      </c>
      <c r="E14">
        <v>-3.88</v>
      </c>
      <c r="F14">
        <v>-1.66</v>
      </c>
      <c r="I14" s="45">
        <v>34278</v>
      </c>
      <c r="J14" s="36">
        <v>3.4569116828631312</v>
      </c>
      <c r="K14" s="36">
        <v>-2.8796298543198513</v>
      </c>
    </row>
    <row r="15" spans="1:11" x14ac:dyDescent="0.2">
      <c r="B15">
        <v>1941</v>
      </c>
      <c r="C15">
        <v>0.04</v>
      </c>
      <c r="D15">
        <v>2.02</v>
      </c>
      <c r="E15">
        <v>-5.31</v>
      </c>
      <c r="F15">
        <v>-10.83</v>
      </c>
      <c r="I15" s="45">
        <v>34308</v>
      </c>
      <c r="J15" s="36">
        <v>3.5565762522500153</v>
      </c>
      <c r="K15" s="36">
        <v>-0.34397461417375025</v>
      </c>
    </row>
    <row r="16" spans="1:11" x14ac:dyDescent="0.2">
      <c r="B16">
        <v>1942</v>
      </c>
      <c r="C16">
        <v>0.28000000000000003</v>
      </c>
      <c r="D16">
        <v>2.29</v>
      </c>
      <c r="E16">
        <v>17.41</v>
      </c>
      <c r="F16">
        <v>28.07</v>
      </c>
      <c r="I16" s="45">
        <v>34339</v>
      </c>
      <c r="J16" s="36">
        <v>1.1368177095820342</v>
      </c>
      <c r="K16" s="36">
        <v>-0.68948802380196472</v>
      </c>
    </row>
    <row r="17" spans="2:11" x14ac:dyDescent="0.2">
      <c r="B17">
        <v>1943</v>
      </c>
      <c r="C17">
        <v>0.36</v>
      </c>
      <c r="D17">
        <v>2.4899999999999998</v>
      </c>
      <c r="E17">
        <v>34.21</v>
      </c>
      <c r="F17">
        <v>54.88</v>
      </c>
      <c r="I17" s="45">
        <v>34370</v>
      </c>
      <c r="J17" s="36">
        <v>-1.5803717824615097E-2</v>
      </c>
      <c r="K17" s="36">
        <v>-0.18934771814960516</v>
      </c>
    </row>
    <row r="18" spans="2:11" x14ac:dyDescent="0.2">
      <c r="B18">
        <v>1944</v>
      </c>
      <c r="C18">
        <v>0.33</v>
      </c>
      <c r="D18">
        <v>2.58</v>
      </c>
      <c r="E18">
        <v>21.75</v>
      </c>
      <c r="F18">
        <v>40.22</v>
      </c>
      <c r="I18" s="45">
        <v>34398</v>
      </c>
      <c r="J18" s="36">
        <v>-1.2467152707802349</v>
      </c>
      <c r="K18" s="36">
        <v>-3.7705305048733555</v>
      </c>
    </row>
    <row r="19" spans="2:11" x14ac:dyDescent="0.2">
      <c r="B19">
        <v>1945</v>
      </c>
      <c r="C19">
        <v>0.32</v>
      </c>
      <c r="D19">
        <v>3.8</v>
      </c>
      <c r="E19">
        <v>38.74</v>
      </c>
      <c r="F19">
        <v>60.02</v>
      </c>
      <c r="I19" s="45">
        <v>34429</v>
      </c>
      <c r="J19" s="36">
        <v>-4.4796126605577982</v>
      </c>
      <c r="K19" s="36">
        <v>-4.214418392738235</v>
      </c>
    </row>
    <row r="20" spans="2:11" x14ac:dyDescent="0.2">
      <c r="B20">
        <v>1946</v>
      </c>
      <c r="C20">
        <v>0.36</v>
      </c>
      <c r="D20">
        <v>3.1300000000000003</v>
      </c>
      <c r="E20">
        <v>-1.8</v>
      </c>
      <c r="F20">
        <v>-9.74</v>
      </c>
      <c r="I20" s="45">
        <v>34459</v>
      </c>
      <c r="J20" s="36">
        <v>-1.1163940263494092</v>
      </c>
      <c r="K20" s="36">
        <v>-0.94857393754231178</v>
      </c>
    </row>
    <row r="21" spans="2:11" x14ac:dyDescent="0.2">
      <c r="B21">
        <v>1947</v>
      </c>
      <c r="C21">
        <v>0.5</v>
      </c>
      <c r="D21">
        <v>0.91999999999999993</v>
      </c>
      <c r="E21">
        <v>4.5599999999999996</v>
      </c>
      <c r="F21">
        <v>-2.56</v>
      </c>
      <c r="I21" s="45">
        <v>34490</v>
      </c>
      <c r="J21" s="36">
        <v>2.2495234060580396</v>
      </c>
      <c r="K21" s="36">
        <v>0.9151775407489493</v>
      </c>
    </row>
    <row r="22" spans="2:11" x14ac:dyDescent="0.2">
      <c r="B22">
        <v>1948</v>
      </c>
      <c r="C22">
        <v>0.81</v>
      </c>
      <c r="D22">
        <v>1.95</v>
      </c>
      <c r="E22">
        <v>1.61</v>
      </c>
      <c r="F22">
        <v>-7.08</v>
      </c>
      <c r="I22" s="45">
        <v>34520</v>
      </c>
      <c r="J22" s="36">
        <v>-7.0579217765992812</v>
      </c>
      <c r="K22" s="36">
        <v>-2.3289651890625587</v>
      </c>
    </row>
    <row r="23" spans="2:11" x14ac:dyDescent="0.2">
      <c r="B23">
        <v>1949</v>
      </c>
      <c r="C23">
        <v>1.1200000000000001</v>
      </c>
      <c r="D23">
        <v>4.66</v>
      </c>
      <c r="E23">
        <v>15.93</v>
      </c>
      <c r="F23">
        <v>22.67</v>
      </c>
      <c r="I23" s="45">
        <v>34551</v>
      </c>
      <c r="J23" s="36">
        <v>2.5186671124484592</v>
      </c>
      <c r="K23" s="36">
        <v>0.28201740825065064</v>
      </c>
    </row>
    <row r="24" spans="2:11" x14ac:dyDescent="0.2">
      <c r="B24">
        <v>1950</v>
      </c>
      <c r="C24">
        <v>1.22</v>
      </c>
      <c r="D24">
        <v>0.43</v>
      </c>
      <c r="E24">
        <v>31.19</v>
      </c>
      <c r="F24">
        <v>31.97</v>
      </c>
      <c r="I24" s="45">
        <v>34582</v>
      </c>
      <c r="J24" s="36">
        <v>1.8719426024567918</v>
      </c>
      <c r="K24" s="36">
        <v>0.31205620748935198</v>
      </c>
    </row>
    <row r="25" spans="2:11" x14ac:dyDescent="0.2">
      <c r="B25">
        <v>1951</v>
      </c>
      <c r="C25">
        <v>1.49</v>
      </c>
      <c r="D25">
        <v>0.3</v>
      </c>
      <c r="E25">
        <v>25.2</v>
      </c>
      <c r="F25">
        <v>15.23</v>
      </c>
      <c r="I25" s="45">
        <v>34612</v>
      </c>
      <c r="J25" s="36">
        <v>-4.261994194980371</v>
      </c>
      <c r="K25" s="36">
        <v>-3.7693497010226675</v>
      </c>
    </row>
    <row r="26" spans="2:11" x14ac:dyDescent="0.2">
      <c r="B26">
        <v>1952</v>
      </c>
      <c r="C26">
        <v>1.65</v>
      </c>
      <c r="D26">
        <v>2.27</v>
      </c>
      <c r="E26">
        <v>13.4</v>
      </c>
      <c r="F26">
        <v>9.82</v>
      </c>
      <c r="I26" s="45">
        <v>34643</v>
      </c>
      <c r="J26" s="36">
        <v>1.2015426112931726</v>
      </c>
      <c r="K26" s="36">
        <v>-1.8118642263281679</v>
      </c>
    </row>
    <row r="27" spans="2:11" x14ac:dyDescent="0.2">
      <c r="B27">
        <v>1953</v>
      </c>
      <c r="C27">
        <v>1.83</v>
      </c>
      <c r="D27">
        <v>4.1399999999999997</v>
      </c>
      <c r="E27">
        <v>0.47</v>
      </c>
      <c r="F27">
        <v>-0.94</v>
      </c>
      <c r="I27" s="45">
        <v>34673</v>
      </c>
      <c r="J27" s="36">
        <v>1.709326402044141</v>
      </c>
      <c r="K27" s="36">
        <v>1.2617425847979744</v>
      </c>
    </row>
    <row r="28" spans="2:11" x14ac:dyDescent="0.2">
      <c r="B28">
        <v>1954</v>
      </c>
      <c r="C28">
        <v>0.86</v>
      </c>
      <c r="D28">
        <v>3.29</v>
      </c>
      <c r="E28">
        <v>48.2</v>
      </c>
      <c r="F28">
        <v>61.14</v>
      </c>
      <c r="I28" s="45">
        <v>34704</v>
      </c>
      <c r="J28" s="36">
        <v>1.0330489019794651</v>
      </c>
      <c r="K28" s="36">
        <v>-0.2813281805172948</v>
      </c>
    </row>
    <row r="29" spans="2:11" x14ac:dyDescent="0.2">
      <c r="B29">
        <v>1955</v>
      </c>
      <c r="C29">
        <v>1.57</v>
      </c>
      <c r="D29">
        <v>1.34</v>
      </c>
      <c r="E29">
        <v>18.940000000000001</v>
      </c>
      <c r="F29">
        <v>20.61</v>
      </c>
      <c r="I29" s="45">
        <v>34735</v>
      </c>
      <c r="J29" s="36">
        <v>2.8573878373453909</v>
      </c>
      <c r="K29" s="36">
        <v>2.6865030555067411</v>
      </c>
    </row>
    <row r="30" spans="2:11" x14ac:dyDescent="0.2">
      <c r="B30">
        <v>1956</v>
      </c>
      <c r="C30">
        <v>2.4700000000000002</v>
      </c>
      <c r="D30">
        <v>2.2599999999999998</v>
      </c>
      <c r="E30">
        <v>13.02</v>
      </c>
      <c r="F30">
        <v>7.76</v>
      </c>
      <c r="I30" s="45">
        <v>34763</v>
      </c>
      <c r="J30" s="36">
        <v>-2.3757919306435431</v>
      </c>
      <c r="K30" s="36">
        <v>0.73581138891529707</v>
      </c>
    </row>
    <row r="31" spans="2:11" x14ac:dyDescent="0.2">
      <c r="B31">
        <v>1957</v>
      </c>
      <c r="C31">
        <v>3.15</v>
      </c>
      <c r="D31">
        <v>6.8000000000000007</v>
      </c>
      <c r="E31">
        <v>-8.16</v>
      </c>
      <c r="F31">
        <v>-14.8</v>
      </c>
      <c r="I31" s="45">
        <v>34794</v>
      </c>
      <c r="J31" s="36">
        <v>2.2969857399026536</v>
      </c>
      <c r="K31" s="36">
        <v>1.7005775546412052</v>
      </c>
    </row>
    <row r="32" spans="2:11" x14ac:dyDescent="0.2">
      <c r="B32">
        <v>1958</v>
      </c>
      <c r="C32">
        <v>1.53</v>
      </c>
      <c r="D32">
        <v>2.1</v>
      </c>
      <c r="E32">
        <v>45.45</v>
      </c>
      <c r="F32">
        <v>57.73</v>
      </c>
      <c r="I32" s="45">
        <v>34824</v>
      </c>
      <c r="J32" s="36">
        <v>1.6402337228714554</v>
      </c>
      <c r="K32" s="36">
        <v>3.0417756992001106</v>
      </c>
    </row>
    <row r="33" spans="2:11" x14ac:dyDescent="0.2">
      <c r="B33">
        <v>1959</v>
      </c>
      <c r="C33">
        <v>2.98</v>
      </c>
      <c r="D33">
        <v>2.65</v>
      </c>
      <c r="E33">
        <v>10.14</v>
      </c>
      <c r="F33">
        <v>20.22</v>
      </c>
      <c r="I33" s="45">
        <v>34855</v>
      </c>
      <c r="J33" s="36">
        <v>4.4840471399827484</v>
      </c>
      <c r="K33" s="36">
        <v>4.0596520298260241</v>
      </c>
    </row>
    <row r="34" spans="2:11" x14ac:dyDescent="0.2">
      <c r="B34">
        <v>1960</v>
      </c>
      <c r="C34">
        <v>2.67</v>
      </c>
      <c r="D34">
        <v>11.64</v>
      </c>
      <c r="E34">
        <v>8.18</v>
      </c>
      <c r="F34">
        <v>-1.3</v>
      </c>
      <c r="I34" s="45">
        <v>34885</v>
      </c>
      <c r="J34" s="36">
        <v>1.0355669090194501</v>
      </c>
      <c r="K34" s="36">
        <v>-0.78838964275823975</v>
      </c>
    </row>
    <row r="35" spans="2:11" x14ac:dyDescent="0.2">
      <c r="B35">
        <v>1961</v>
      </c>
      <c r="C35">
        <v>2.12</v>
      </c>
      <c r="D35">
        <v>2.06</v>
      </c>
      <c r="E35">
        <v>26.62</v>
      </c>
      <c r="F35">
        <v>30.57</v>
      </c>
      <c r="I35" s="45">
        <v>34916</v>
      </c>
      <c r="J35" s="36">
        <v>1.6901024952836716</v>
      </c>
      <c r="K35" s="36">
        <v>-2.1685086487382388</v>
      </c>
    </row>
    <row r="36" spans="2:11" x14ac:dyDescent="0.2">
      <c r="B36">
        <v>1962</v>
      </c>
      <c r="C36">
        <v>2.73</v>
      </c>
      <c r="D36">
        <v>5.6899999999999995</v>
      </c>
      <c r="E36">
        <v>-5.8</v>
      </c>
      <c r="F36">
        <v>-15.9</v>
      </c>
      <c r="I36" s="45">
        <v>34947</v>
      </c>
      <c r="J36" s="36">
        <v>6.9444975710515138</v>
      </c>
      <c r="K36" s="36">
        <v>1.9633542864785323</v>
      </c>
    </row>
    <row r="37" spans="2:11" x14ac:dyDescent="0.2">
      <c r="B37">
        <v>1963</v>
      </c>
      <c r="C37">
        <v>3.11</v>
      </c>
      <c r="D37">
        <v>1.68</v>
      </c>
      <c r="E37">
        <v>17.100000000000001</v>
      </c>
      <c r="F37">
        <v>16.53</v>
      </c>
      <c r="I37" s="45">
        <v>34977</v>
      </c>
      <c r="J37" s="36">
        <v>0.82264785306794397</v>
      </c>
      <c r="K37" s="36">
        <v>0.85346764955359022</v>
      </c>
    </row>
    <row r="38" spans="2:11" x14ac:dyDescent="0.2">
      <c r="B38">
        <v>1964</v>
      </c>
      <c r="C38">
        <v>3.53</v>
      </c>
      <c r="D38">
        <v>3.73</v>
      </c>
      <c r="E38">
        <v>19.88</v>
      </c>
      <c r="F38">
        <v>17.739999999999998</v>
      </c>
      <c r="I38" s="45">
        <v>35008</v>
      </c>
      <c r="J38" s="36">
        <v>0.35830214449154474</v>
      </c>
      <c r="K38" s="36">
        <v>0.87659212887898141</v>
      </c>
    </row>
    <row r="39" spans="2:11" x14ac:dyDescent="0.2">
      <c r="B39">
        <v>1965</v>
      </c>
      <c r="C39">
        <v>3.92</v>
      </c>
      <c r="D39">
        <v>0.72</v>
      </c>
      <c r="E39">
        <v>8.3800000000000008</v>
      </c>
      <c r="F39">
        <v>33.42</v>
      </c>
      <c r="I39" s="45">
        <v>35038</v>
      </c>
      <c r="J39" s="36">
        <v>5.9951572138072562</v>
      </c>
      <c r="K39" s="36">
        <v>1.8943821769923743</v>
      </c>
    </row>
    <row r="40" spans="2:11" x14ac:dyDescent="0.2">
      <c r="B40">
        <v>1966</v>
      </c>
      <c r="C40">
        <v>4.75</v>
      </c>
      <c r="D40">
        <v>2.91</v>
      </c>
      <c r="E40">
        <v>-5.46</v>
      </c>
      <c r="F40">
        <v>-6.1</v>
      </c>
      <c r="I40" s="45">
        <v>35069</v>
      </c>
      <c r="J40" s="36">
        <v>-0.41186573510530544</v>
      </c>
      <c r="K40" s="36">
        <v>-0.30789216182474177</v>
      </c>
    </row>
    <row r="41" spans="2:11" x14ac:dyDescent="0.2">
      <c r="B41">
        <v>1967</v>
      </c>
      <c r="C41">
        <v>4.21</v>
      </c>
      <c r="D41">
        <v>1.58</v>
      </c>
      <c r="E41">
        <v>15.72</v>
      </c>
      <c r="F41">
        <v>71.83</v>
      </c>
      <c r="I41" s="45">
        <v>35100</v>
      </c>
      <c r="J41" s="36">
        <v>6.0829817158931148</v>
      </c>
      <c r="K41" s="36">
        <v>0</v>
      </c>
    </row>
    <row r="42" spans="2:11" x14ac:dyDescent="0.2">
      <c r="B42">
        <v>1968</v>
      </c>
      <c r="C42">
        <v>5.22</v>
      </c>
      <c r="D42">
        <v>3.27</v>
      </c>
      <c r="E42">
        <v>15.29</v>
      </c>
      <c r="F42">
        <v>40.67</v>
      </c>
      <c r="I42" s="45">
        <v>35129</v>
      </c>
      <c r="J42" s="36">
        <v>2.732136938301994</v>
      </c>
      <c r="K42" s="36">
        <v>-2.2295930886845019</v>
      </c>
    </row>
    <row r="43" spans="2:11" x14ac:dyDescent="0.2">
      <c r="B43">
        <v>1969</v>
      </c>
      <c r="C43">
        <v>6.57</v>
      </c>
      <c r="D43">
        <v>5.01</v>
      </c>
      <c r="E43">
        <v>-16.79</v>
      </c>
      <c r="F43">
        <v>-22.76</v>
      </c>
      <c r="I43" s="45">
        <v>35160</v>
      </c>
      <c r="J43" s="36">
        <v>0.25811209439527255</v>
      </c>
      <c r="K43" s="36">
        <v>-4.3583618928929981</v>
      </c>
    </row>
    <row r="44" spans="2:11" x14ac:dyDescent="0.2">
      <c r="B44">
        <v>1970</v>
      </c>
      <c r="C44">
        <v>6.52</v>
      </c>
      <c r="D44">
        <v>16.75</v>
      </c>
      <c r="E44">
        <v>7.88</v>
      </c>
      <c r="F44">
        <v>-7.63</v>
      </c>
      <c r="I44" s="45">
        <v>35190</v>
      </c>
      <c r="J44" s="36">
        <v>0.1624371705283896</v>
      </c>
      <c r="K44" s="36">
        <v>-2.3119661213261971</v>
      </c>
    </row>
    <row r="45" spans="2:11" x14ac:dyDescent="0.2">
      <c r="B45">
        <v>1971</v>
      </c>
      <c r="C45">
        <v>4.3899999999999997</v>
      </c>
      <c r="D45">
        <v>9.7900000000000009</v>
      </c>
      <c r="E45">
        <v>5.92</v>
      </c>
      <c r="F45">
        <v>21.46</v>
      </c>
      <c r="I45" s="45">
        <v>35221</v>
      </c>
      <c r="J45" s="36">
        <v>6.0340870842385392</v>
      </c>
      <c r="K45" s="36">
        <v>0.87071704474930944</v>
      </c>
    </row>
    <row r="46" spans="2:11" x14ac:dyDescent="0.2">
      <c r="B46">
        <v>1972</v>
      </c>
      <c r="C46">
        <v>3.84</v>
      </c>
      <c r="D46">
        <v>2.82</v>
      </c>
      <c r="E46">
        <v>11.17</v>
      </c>
      <c r="F46">
        <v>7.48</v>
      </c>
      <c r="I46" s="45">
        <v>35251</v>
      </c>
      <c r="J46" s="36">
        <v>-3.3041872276570543</v>
      </c>
      <c r="K46" s="36">
        <v>-1.6501832006391464</v>
      </c>
    </row>
    <row r="47" spans="2:11" x14ac:dyDescent="0.2">
      <c r="B47">
        <v>1973</v>
      </c>
      <c r="C47">
        <v>6.93</v>
      </c>
      <c r="D47">
        <v>3.66</v>
      </c>
      <c r="E47">
        <v>-9.07</v>
      </c>
      <c r="F47">
        <v>-32.72</v>
      </c>
      <c r="I47" s="45">
        <v>35282</v>
      </c>
      <c r="J47" s="36">
        <v>-1.8368747761728463</v>
      </c>
      <c r="K47" s="36">
        <v>3.8431372549019605</v>
      </c>
    </row>
    <row r="48" spans="2:11" x14ac:dyDescent="0.2">
      <c r="B48">
        <v>1974</v>
      </c>
      <c r="C48">
        <v>8.01</v>
      </c>
      <c r="D48">
        <v>1.9900000000000002</v>
      </c>
      <c r="E48">
        <v>-22.82</v>
      </c>
      <c r="F48">
        <v>-25.85</v>
      </c>
      <c r="I48" s="45">
        <v>35313</v>
      </c>
      <c r="J48" s="36">
        <v>-1.2221631070912939</v>
      </c>
      <c r="K48" s="36">
        <v>-3.1722054380664577</v>
      </c>
    </row>
    <row r="49" spans="2:11" x14ac:dyDescent="0.2">
      <c r="B49">
        <v>1975</v>
      </c>
      <c r="C49">
        <v>5.8</v>
      </c>
      <c r="D49">
        <v>3.61</v>
      </c>
      <c r="E49">
        <v>41.86</v>
      </c>
      <c r="F49">
        <v>58.01</v>
      </c>
      <c r="I49" s="45">
        <v>35343</v>
      </c>
      <c r="J49" s="36">
        <v>10.592326987888773</v>
      </c>
      <c r="K49" s="36">
        <v>3.5862863085951964</v>
      </c>
    </row>
    <row r="50" spans="2:11" x14ac:dyDescent="0.2">
      <c r="B50">
        <v>1976</v>
      </c>
      <c r="C50">
        <v>5.08</v>
      </c>
      <c r="D50">
        <v>15.98</v>
      </c>
      <c r="E50">
        <v>40.6</v>
      </c>
      <c r="F50">
        <v>47.41</v>
      </c>
      <c r="I50" s="45">
        <v>35374</v>
      </c>
      <c r="J50" s="36">
        <v>1.2161861293554506</v>
      </c>
      <c r="K50" s="36">
        <v>1.2837292693859275</v>
      </c>
    </row>
    <row r="51" spans="2:11" x14ac:dyDescent="0.2">
      <c r="B51">
        <v>1977</v>
      </c>
      <c r="C51">
        <v>5.13</v>
      </c>
      <c r="D51">
        <v>1.29</v>
      </c>
      <c r="E51">
        <v>-0.6</v>
      </c>
      <c r="F51">
        <v>18.43</v>
      </c>
      <c r="I51" s="45">
        <v>35404</v>
      </c>
      <c r="J51" s="36">
        <v>6.6622673155709577</v>
      </c>
      <c r="K51" s="36">
        <v>0.43015701616187019</v>
      </c>
    </row>
    <row r="52" spans="2:11" x14ac:dyDescent="0.2">
      <c r="B52">
        <v>1978</v>
      </c>
      <c r="C52">
        <v>7.19</v>
      </c>
      <c r="D52">
        <v>0.77999999999999992</v>
      </c>
      <c r="E52">
        <v>6.95</v>
      </c>
      <c r="F52">
        <v>21.07</v>
      </c>
      <c r="I52" s="45">
        <v>35435</v>
      </c>
      <c r="J52" s="36">
        <v>0.75015467106619105</v>
      </c>
      <c r="K52" s="36">
        <v>-2.0825254697359603</v>
      </c>
    </row>
    <row r="53" spans="2:11" x14ac:dyDescent="0.2">
      <c r="B53">
        <v>1979</v>
      </c>
      <c r="C53">
        <v>10.38</v>
      </c>
      <c r="D53">
        <v>0.67</v>
      </c>
      <c r="E53">
        <v>23.45</v>
      </c>
      <c r="F53">
        <v>37.97</v>
      </c>
      <c r="I53" s="45">
        <v>35466</v>
      </c>
      <c r="J53" s="36">
        <v>10.328019855180004</v>
      </c>
      <c r="K53" s="36">
        <v>0.43742405832319875</v>
      </c>
    </row>
    <row r="54" spans="2:11" x14ac:dyDescent="0.2">
      <c r="B54">
        <v>1980</v>
      </c>
      <c r="C54">
        <v>11.26</v>
      </c>
      <c r="D54">
        <v>2.9899999999999998</v>
      </c>
      <c r="E54">
        <v>36.81</v>
      </c>
      <c r="F54">
        <v>30.56</v>
      </c>
      <c r="I54" s="45">
        <v>35494</v>
      </c>
      <c r="J54" s="36">
        <v>7.3876088544626031</v>
      </c>
      <c r="K54" s="36">
        <v>-1.3119337580987702</v>
      </c>
    </row>
    <row r="55" spans="2:11" x14ac:dyDescent="0.2">
      <c r="B55">
        <v>1981</v>
      </c>
      <c r="C55">
        <v>14.72</v>
      </c>
      <c r="D55">
        <v>8.2000000000000011</v>
      </c>
      <c r="E55">
        <v>-7.43</v>
      </c>
      <c r="F55">
        <v>14.26</v>
      </c>
      <c r="I55" s="45">
        <v>35525</v>
      </c>
      <c r="J55" s="36">
        <v>-7.5099881222330271</v>
      </c>
      <c r="K55" s="36">
        <v>-2.3699910103789255</v>
      </c>
    </row>
    <row r="56" spans="2:11" x14ac:dyDescent="0.2">
      <c r="B56">
        <v>1982</v>
      </c>
      <c r="C56">
        <v>10.53</v>
      </c>
      <c r="D56">
        <v>32.81</v>
      </c>
      <c r="E56">
        <v>17.78</v>
      </c>
      <c r="F56">
        <v>33.4</v>
      </c>
      <c r="I56" s="45">
        <v>35555</v>
      </c>
      <c r="J56" s="36">
        <v>13.450469908353282</v>
      </c>
      <c r="K56" s="36">
        <v>1.868541718983975</v>
      </c>
    </row>
    <row r="57" spans="2:11" x14ac:dyDescent="0.2">
      <c r="B57">
        <v>1983</v>
      </c>
      <c r="C57">
        <v>8.8000000000000007</v>
      </c>
      <c r="D57">
        <v>3.2</v>
      </c>
      <c r="E57">
        <v>25.39</v>
      </c>
      <c r="F57">
        <v>40.6</v>
      </c>
      <c r="I57" s="45">
        <v>35586</v>
      </c>
      <c r="J57" s="36">
        <v>1.5343294640651979</v>
      </c>
      <c r="K57" s="36">
        <v>0.53594580282307702</v>
      </c>
    </row>
    <row r="58" spans="2:11" x14ac:dyDescent="0.2">
      <c r="B58">
        <v>1984</v>
      </c>
      <c r="C58">
        <v>9.84</v>
      </c>
      <c r="D58">
        <v>13.73</v>
      </c>
      <c r="E58">
        <v>5.68</v>
      </c>
      <c r="F58">
        <v>2.54</v>
      </c>
      <c r="I58" s="45">
        <v>35616</v>
      </c>
      <c r="J58" s="36">
        <v>10.122938773855495</v>
      </c>
      <c r="K58" s="36">
        <v>2.2159054789171106</v>
      </c>
    </row>
    <row r="59" spans="2:11" x14ac:dyDescent="0.2">
      <c r="B59">
        <v>1985</v>
      </c>
      <c r="C59">
        <v>7.72</v>
      </c>
      <c r="D59">
        <v>25.71</v>
      </c>
      <c r="E59">
        <v>32.6</v>
      </c>
      <c r="F59">
        <v>35.22</v>
      </c>
      <c r="I59" s="45">
        <v>35647</v>
      </c>
      <c r="J59" s="36">
        <v>11.533753623855317</v>
      </c>
      <c r="K59" s="36">
        <v>0.54996312848169293</v>
      </c>
    </row>
    <row r="60" spans="2:11" x14ac:dyDescent="0.2">
      <c r="B60">
        <v>1986</v>
      </c>
      <c r="C60">
        <v>6.16</v>
      </c>
      <c r="D60">
        <v>24.279999999999998</v>
      </c>
      <c r="E60">
        <v>20.100000000000001</v>
      </c>
      <c r="F60">
        <v>10.050000000000001</v>
      </c>
      <c r="I60" s="45">
        <v>35678</v>
      </c>
      <c r="J60" s="36">
        <v>-6.1400975352141618</v>
      </c>
      <c r="K60" s="36">
        <v>-1.1884565086770569</v>
      </c>
    </row>
    <row r="61" spans="2:11" x14ac:dyDescent="0.2">
      <c r="B61">
        <v>1987</v>
      </c>
      <c r="C61">
        <v>5.47</v>
      </c>
      <c r="D61">
        <v>4.96</v>
      </c>
      <c r="E61">
        <v>3.01</v>
      </c>
      <c r="F61">
        <v>-4.3499999999999996</v>
      </c>
      <c r="I61" s="45">
        <v>35708</v>
      </c>
      <c r="J61" s="36">
        <v>1.5974188103317983</v>
      </c>
      <c r="K61" s="36">
        <v>2.5718297012349476</v>
      </c>
    </row>
    <row r="62" spans="2:11" x14ac:dyDescent="0.2">
      <c r="B62">
        <v>1988</v>
      </c>
      <c r="C62">
        <v>6.36</v>
      </c>
      <c r="D62">
        <v>8.2199999999999989</v>
      </c>
      <c r="E62">
        <v>17.87</v>
      </c>
      <c r="F62">
        <v>28.61</v>
      </c>
      <c r="I62" s="45">
        <v>35739</v>
      </c>
      <c r="J62" s="36">
        <v>-4.4564436714173219</v>
      </c>
      <c r="K62" s="36">
        <v>0.49432011368490192</v>
      </c>
    </row>
    <row r="63" spans="2:11" x14ac:dyDescent="0.2">
      <c r="B63">
        <v>1989</v>
      </c>
      <c r="C63">
        <v>8.3800000000000008</v>
      </c>
      <c r="D63">
        <v>17.690000000000001</v>
      </c>
      <c r="E63">
        <v>25.74</v>
      </c>
      <c r="F63">
        <v>17.89</v>
      </c>
      <c r="I63" s="45">
        <v>35769</v>
      </c>
      <c r="J63" s="36">
        <v>8.1394401021618723</v>
      </c>
      <c r="K63" s="36">
        <v>0.24637806888176111</v>
      </c>
    </row>
    <row r="64" spans="2:11" x14ac:dyDescent="0.2">
      <c r="B64">
        <v>1990</v>
      </c>
      <c r="C64">
        <v>7.84</v>
      </c>
      <c r="D64">
        <v>6.2399999999999993</v>
      </c>
      <c r="E64">
        <v>-5.74</v>
      </c>
      <c r="F64">
        <v>-17.899999999999999</v>
      </c>
      <c r="I64" s="45">
        <v>35800</v>
      </c>
      <c r="J64" s="36">
        <v>1.5134003350083698</v>
      </c>
      <c r="K64" s="36">
        <v>2.827249597590733</v>
      </c>
    </row>
    <row r="65" spans="2:11" x14ac:dyDescent="0.2">
      <c r="B65">
        <v>1991</v>
      </c>
      <c r="C65">
        <v>5.6</v>
      </c>
      <c r="D65">
        <v>15</v>
      </c>
      <c r="E65">
        <v>22.17</v>
      </c>
      <c r="F65">
        <v>46.88</v>
      </c>
      <c r="I65" s="45">
        <v>35831</v>
      </c>
      <c r="J65" s="36">
        <v>1.3448068180880606</v>
      </c>
      <c r="K65" s="36">
        <v>-0.71788656887250102</v>
      </c>
    </row>
    <row r="66" spans="2:11" x14ac:dyDescent="0.2">
      <c r="B66">
        <v>1992</v>
      </c>
      <c r="C66">
        <v>3.5</v>
      </c>
      <c r="D66">
        <v>9.36</v>
      </c>
      <c r="E66">
        <v>9.6300000000000008</v>
      </c>
      <c r="F66">
        <v>22.51</v>
      </c>
      <c r="I66" s="45">
        <v>35859</v>
      </c>
      <c r="J66" s="36">
        <v>5.5691688986217578</v>
      </c>
      <c r="K66" s="36">
        <v>-1.7301302048012994</v>
      </c>
    </row>
    <row r="67" spans="2:11" x14ac:dyDescent="0.2">
      <c r="B67">
        <v>1993</v>
      </c>
      <c r="C67">
        <v>2.9</v>
      </c>
      <c r="D67">
        <v>14.21</v>
      </c>
      <c r="E67">
        <v>16.89</v>
      </c>
      <c r="F67">
        <v>20.16</v>
      </c>
      <c r="I67" s="45">
        <v>35890</v>
      </c>
      <c r="J67" s="36">
        <v>9.7125187001650275</v>
      </c>
      <c r="K67" s="36">
        <v>2.3920225659251044</v>
      </c>
    </row>
    <row r="68" spans="2:11" x14ac:dyDescent="0.2">
      <c r="B68">
        <v>1994</v>
      </c>
      <c r="C68">
        <v>3.91</v>
      </c>
      <c r="D68">
        <v>8.0399999999999991</v>
      </c>
      <c r="E68">
        <v>1.08</v>
      </c>
      <c r="F68">
        <v>0.2</v>
      </c>
      <c r="I68" s="45">
        <v>35920</v>
      </c>
      <c r="J68" s="36">
        <v>-4.5511094866910797</v>
      </c>
      <c r="K68" s="36">
        <v>-1.7135636057287331</v>
      </c>
    </row>
    <row r="69" spans="2:11" x14ac:dyDescent="0.2">
      <c r="B69">
        <v>1995</v>
      </c>
      <c r="C69">
        <v>5.6</v>
      </c>
      <c r="D69">
        <v>23.48</v>
      </c>
      <c r="E69">
        <v>39.119999999999997</v>
      </c>
      <c r="F69">
        <v>28.02</v>
      </c>
      <c r="I69" s="45">
        <v>35951</v>
      </c>
      <c r="J69" s="36">
        <v>2.9455514808766767E-2</v>
      </c>
      <c r="K69" s="36">
        <v>0.63514648655135142</v>
      </c>
    </row>
    <row r="70" spans="2:11" x14ac:dyDescent="0.2">
      <c r="B70">
        <v>1996</v>
      </c>
      <c r="C70">
        <v>5.2</v>
      </c>
      <c r="D70">
        <v>1.43</v>
      </c>
      <c r="E70">
        <v>25.38</v>
      </c>
      <c r="F70">
        <v>22.66</v>
      </c>
      <c r="I70" s="45">
        <v>35981</v>
      </c>
      <c r="J70" s="36">
        <v>5.6545296603306836</v>
      </c>
      <c r="K70" s="36">
        <v>1.3074177859923144</v>
      </c>
    </row>
    <row r="71" spans="2:11" x14ac:dyDescent="0.2">
      <c r="B71">
        <v>1997</v>
      </c>
      <c r="C71">
        <v>5.25</v>
      </c>
      <c r="D71">
        <v>9.94</v>
      </c>
      <c r="E71">
        <v>37.299999999999997</v>
      </c>
      <c r="F71">
        <v>32.229999999999997</v>
      </c>
      <c r="I71" s="45">
        <v>36012</v>
      </c>
      <c r="J71" s="36">
        <v>-7.9487733331475381</v>
      </c>
      <c r="K71" s="36">
        <v>-0.15469724739788931</v>
      </c>
    </row>
    <row r="72" spans="2:11" x14ac:dyDescent="0.2">
      <c r="B72">
        <v>1998</v>
      </c>
      <c r="C72">
        <v>4.8499999999999996</v>
      </c>
      <c r="D72">
        <v>14.92</v>
      </c>
      <c r="E72">
        <v>7.99</v>
      </c>
      <c r="F72">
        <v>-5.68</v>
      </c>
      <c r="I72" s="45">
        <v>36043</v>
      </c>
      <c r="J72" s="36">
        <v>-11.664433695907224</v>
      </c>
      <c r="K72" s="36">
        <v>3.1399989895417568</v>
      </c>
    </row>
    <row r="73" spans="2:11" x14ac:dyDescent="0.2">
      <c r="B73">
        <v>1999</v>
      </c>
      <c r="C73">
        <v>4.6900000000000004</v>
      </c>
      <c r="D73">
        <v>8.25</v>
      </c>
      <c r="E73">
        <v>6.28</v>
      </c>
      <c r="F73">
        <v>21.97</v>
      </c>
      <c r="I73" s="45">
        <v>36073</v>
      </c>
      <c r="J73" s="36">
        <v>-4.1961936915707687</v>
      </c>
      <c r="K73" s="36">
        <v>6.5655947161739627</v>
      </c>
    </row>
    <row r="74" spans="2:11" x14ac:dyDescent="0.2">
      <c r="B74">
        <v>2000</v>
      </c>
      <c r="C74">
        <v>5.88</v>
      </c>
      <c r="D74">
        <v>16.66</v>
      </c>
      <c r="E74">
        <v>16.68</v>
      </c>
      <c r="F74">
        <v>19.55</v>
      </c>
      <c r="I74" s="45">
        <v>36104</v>
      </c>
      <c r="J74" s="36">
        <v>16.499409681227867</v>
      </c>
      <c r="K74" s="36">
        <v>-5.3229550521340032</v>
      </c>
    </row>
    <row r="75" spans="2:11" x14ac:dyDescent="0.2">
      <c r="B75">
        <v>2001</v>
      </c>
      <c r="C75">
        <v>3.86</v>
      </c>
      <c r="D75">
        <v>5.57</v>
      </c>
      <c r="E75">
        <v>-1.24</v>
      </c>
      <c r="F75">
        <v>16.989999999999998</v>
      </c>
      <c r="I75" s="45">
        <v>36134</v>
      </c>
      <c r="J75" s="36">
        <v>5.0663718512717759</v>
      </c>
      <c r="K75" s="36">
        <v>1.6798698829107981</v>
      </c>
    </row>
    <row r="76" spans="2:11" x14ac:dyDescent="0.2">
      <c r="B76">
        <v>2002</v>
      </c>
      <c r="C76">
        <v>1.63</v>
      </c>
      <c r="D76">
        <v>15.120000000000001</v>
      </c>
      <c r="E76">
        <v>-15.56</v>
      </c>
      <c r="F76">
        <v>-11.45</v>
      </c>
      <c r="I76" s="45">
        <v>36165</v>
      </c>
      <c r="J76" s="36">
        <v>4.8695652173913118</v>
      </c>
      <c r="K76" s="36">
        <v>-0.95816389059104834</v>
      </c>
    </row>
    <row r="77" spans="2:11" x14ac:dyDescent="0.2">
      <c r="B77">
        <v>2003</v>
      </c>
      <c r="C77">
        <v>1.02</v>
      </c>
      <c r="D77">
        <v>0.38</v>
      </c>
      <c r="E77">
        <v>30.76</v>
      </c>
      <c r="F77">
        <v>50.1</v>
      </c>
      <c r="I77" s="45">
        <v>36196</v>
      </c>
      <c r="J77" s="36">
        <v>4.0525663001518915</v>
      </c>
      <c r="K77" s="36">
        <v>-1.5612319510176516</v>
      </c>
    </row>
    <row r="78" spans="2:11" x14ac:dyDescent="0.2">
      <c r="B78">
        <v>2004</v>
      </c>
      <c r="C78">
        <v>1.19</v>
      </c>
      <c r="D78">
        <v>4.49</v>
      </c>
      <c r="E78">
        <v>14.8</v>
      </c>
      <c r="F78">
        <v>20.6</v>
      </c>
      <c r="I78" s="45">
        <v>36224</v>
      </c>
      <c r="J78" s="36">
        <v>7.2008303756780272</v>
      </c>
      <c r="K78" s="36">
        <v>-2.8862949963268316</v>
      </c>
    </row>
    <row r="79" spans="2:11" x14ac:dyDescent="0.2">
      <c r="B79">
        <v>2005</v>
      </c>
      <c r="C79">
        <v>2.98</v>
      </c>
      <c r="D79">
        <v>2.87</v>
      </c>
      <c r="E79">
        <v>7.95</v>
      </c>
      <c r="F79">
        <v>8.51</v>
      </c>
      <c r="I79" s="45">
        <v>36255</v>
      </c>
      <c r="J79" s="36">
        <v>4.8968347669646439</v>
      </c>
      <c r="K79" s="36">
        <v>1.0439255635685025</v>
      </c>
    </row>
    <row r="80" spans="2:11" x14ac:dyDescent="0.2">
      <c r="B80">
        <v>2006</v>
      </c>
      <c r="C80">
        <v>4.8099999999999996</v>
      </c>
      <c r="D80">
        <v>1.96</v>
      </c>
      <c r="E80">
        <v>19.78</v>
      </c>
      <c r="F80">
        <v>22.26</v>
      </c>
      <c r="I80" s="45">
        <v>36285</v>
      </c>
      <c r="J80" s="36">
        <v>2.4975881659341868</v>
      </c>
      <c r="K80" s="36">
        <v>-1.4864909828974446</v>
      </c>
    </row>
    <row r="81" spans="2:11" x14ac:dyDescent="0.2">
      <c r="B81">
        <v>2007</v>
      </c>
      <c r="C81">
        <v>4.67</v>
      </c>
      <c r="D81">
        <v>10.209999999999999</v>
      </c>
      <c r="E81">
        <v>1.76</v>
      </c>
      <c r="F81">
        <v>-2.52</v>
      </c>
      <c r="I81" s="45">
        <v>36316</v>
      </c>
      <c r="J81" s="36">
        <v>2.2786957633224119</v>
      </c>
      <c r="K81" s="36">
        <v>-3.6578878484155126</v>
      </c>
    </row>
    <row r="82" spans="2:11" x14ac:dyDescent="0.2">
      <c r="B82">
        <v>2008</v>
      </c>
      <c r="C82">
        <v>1.69</v>
      </c>
      <c r="D82">
        <v>20.100000000000001</v>
      </c>
      <c r="E82">
        <v>-41.42</v>
      </c>
      <c r="F82">
        <v>-31.25</v>
      </c>
      <c r="I82" s="45">
        <v>36346</v>
      </c>
      <c r="J82" s="36">
        <v>5.6215135368499869</v>
      </c>
      <c r="K82" s="36">
        <v>-3.2428547639282303E-2</v>
      </c>
    </row>
    <row r="83" spans="2:11" x14ac:dyDescent="0.2">
      <c r="B83">
        <v>2009</v>
      </c>
      <c r="C83">
        <v>0.09</v>
      </c>
      <c r="D83">
        <v>11.12</v>
      </c>
      <c r="E83">
        <v>21.68</v>
      </c>
      <c r="F83">
        <v>31.79</v>
      </c>
      <c r="I83" s="45">
        <v>36377</v>
      </c>
      <c r="J83" s="36">
        <v>-10.469844138242594</v>
      </c>
      <c r="K83" s="36">
        <v>-0.51288795370858142</v>
      </c>
    </row>
    <row r="84" spans="2:11" x14ac:dyDescent="0.2">
      <c r="B84">
        <v>2010</v>
      </c>
      <c r="C84">
        <v>0.11</v>
      </c>
      <c r="D84">
        <v>8.4599999999999991</v>
      </c>
      <c r="E84">
        <v>19.89</v>
      </c>
      <c r="F84">
        <v>29.69</v>
      </c>
      <c r="I84" s="45">
        <v>36408</v>
      </c>
      <c r="J84" s="36">
        <v>5.3860524908840706</v>
      </c>
      <c r="K84" s="36">
        <v>-0.44679444811631708</v>
      </c>
    </row>
    <row r="85" spans="2:11" x14ac:dyDescent="0.2">
      <c r="B85">
        <v>2011</v>
      </c>
      <c r="C85">
        <v>0.04</v>
      </c>
      <c r="D85">
        <v>16.04</v>
      </c>
      <c r="E85">
        <v>3.38</v>
      </c>
      <c r="F85">
        <v>-4.8</v>
      </c>
      <c r="I85" s="45">
        <v>36438</v>
      </c>
      <c r="J85" s="36">
        <v>-4.7425512873860578</v>
      </c>
      <c r="K85" s="36">
        <v>-1.0542808582961569</v>
      </c>
    </row>
    <row r="86" spans="2:11" x14ac:dyDescent="0.2">
      <c r="I86" s="45">
        <v>36469</v>
      </c>
      <c r="J86" s="36">
        <v>8.1190571649123555</v>
      </c>
      <c r="K86" s="36">
        <v>0.90716336992404145</v>
      </c>
    </row>
    <row r="87" spans="2:11" x14ac:dyDescent="0.2">
      <c r="I87" s="45">
        <v>36499</v>
      </c>
      <c r="J87" s="36">
        <v>8.9007698651214113</v>
      </c>
      <c r="K87" s="36">
        <v>-1.8928815242350818</v>
      </c>
    </row>
    <row r="88" spans="2:11" x14ac:dyDescent="0.2">
      <c r="I88" s="45">
        <v>36530</v>
      </c>
      <c r="J88" s="36">
        <v>-5.143751619969203</v>
      </c>
      <c r="K88" s="36">
        <v>-3.101503759398498</v>
      </c>
    </row>
    <row r="89" spans="2:11" x14ac:dyDescent="0.2">
      <c r="I89" s="45">
        <v>36561</v>
      </c>
      <c r="J89" s="36">
        <v>7.2523869225576174</v>
      </c>
      <c r="K89" s="36">
        <v>0.6528389166604518</v>
      </c>
    </row>
    <row r="90" spans="2:11" x14ac:dyDescent="0.2">
      <c r="I90" s="45">
        <v>36590</v>
      </c>
      <c r="J90" s="36">
        <v>0.90169748923457893</v>
      </c>
      <c r="K90" s="36">
        <v>0.17975612468031985</v>
      </c>
    </row>
    <row r="91" spans="2:11" x14ac:dyDescent="0.2">
      <c r="I91" s="45">
        <v>36621</v>
      </c>
      <c r="J91" s="36">
        <v>5.2251922191471545</v>
      </c>
      <c r="K91" s="36">
        <v>3.5599992600677073</v>
      </c>
    </row>
    <row r="92" spans="2:11" x14ac:dyDescent="0.2">
      <c r="I92" s="45">
        <v>36651</v>
      </c>
      <c r="J92" s="36">
        <v>4.258552628483522</v>
      </c>
      <c r="K92" s="36">
        <v>-4.3959380889011914</v>
      </c>
    </row>
    <row r="93" spans="2:11" x14ac:dyDescent="0.2">
      <c r="I93" s="45">
        <v>36682</v>
      </c>
      <c r="J93" s="36">
        <v>-3.0245320143690084</v>
      </c>
      <c r="K93" s="36">
        <v>2.9081227521135964</v>
      </c>
    </row>
    <row r="94" spans="2:11" x14ac:dyDescent="0.2">
      <c r="I94" s="45">
        <v>36712</v>
      </c>
      <c r="J94" s="36">
        <v>-2.6209245832674144</v>
      </c>
      <c r="K94" s="36">
        <v>0.91141814484649764</v>
      </c>
    </row>
    <row r="95" spans="2:11" x14ac:dyDescent="0.2">
      <c r="I95" s="45">
        <v>36743</v>
      </c>
      <c r="J95" s="36">
        <v>6.5738289351696952</v>
      </c>
      <c r="K95" s="36">
        <v>0.51096597758226536</v>
      </c>
    </row>
    <row r="96" spans="2:11" x14ac:dyDescent="0.2">
      <c r="I96" s="45">
        <v>36774</v>
      </c>
      <c r="J96" s="36">
        <v>5.7459306757544448</v>
      </c>
      <c r="K96" s="36">
        <v>0.49404815179449785</v>
      </c>
    </row>
    <row r="97" spans="9:11" x14ac:dyDescent="0.2">
      <c r="I97" s="45">
        <v>36804</v>
      </c>
      <c r="J97" s="36">
        <v>-2.7668939548137597</v>
      </c>
      <c r="K97" s="36">
        <v>-1.2753602536470692</v>
      </c>
    </row>
    <row r="98" spans="9:11" x14ac:dyDescent="0.2">
      <c r="I98" s="45">
        <v>36835</v>
      </c>
      <c r="J98" s="36">
        <v>4.7972298178376872E-2</v>
      </c>
      <c r="K98" s="36">
        <v>0.25169147496618005</v>
      </c>
    </row>
    <row r="99" spans="9:11" x14ac:dyDescent="0.2">
      <c r="I99" s="45">
        <v>36865</v>
      </c>
      <c r="J99" s="36">
        <v>-5.7273254318706028</v>
      </c>
      <c r="K99" s="36">
        <v>2.9209297303134152</v>
      </c>
    </row>
    <row r="100" spans="9:11" x14ac:dyDescent="0.2">
      <c r="I100" s="45">
        <v>36896</v>
      </c>
      <c r="J100" s="36">
        <v>-12.199565358117166</v>
      </c>
      <c r="K100" s="36">
        <v>3.6625136612021798</v>
      </c>
    </row>
    <row r="101" spans="9:11" x14ac:dyDescent="0.2">
      <c r="I101" s="45">
        <v>36927</v>
      </c>
      <c r="J101" s="36">
        <v>5.6823567824905519</v>
      </c>
      <c r="K101" s="36">
        <v>-1.6058837421139609</v>
      </c>
    </row>
    <row r="102" spans="9:11" x14ac:dyDescent="0.2">
      <c r="I102" s="45">
        <v>36955</v>
      </c>
      <c r="J102" s="36">
        <v>-7.1279076720684067</v>
      </c>
      <c r="K102" s="36">
        <v>0.52031544659694784</v>
      </c>
    </row>
    <row r="103" spans="9:11" x14ac:dyDescent="0.2">
      <c r="I103" s="45">
        <v>36986</v>
      </c>
      <c r="J103" s="36">
        <v>-3.8069023243834934</v>
      </c>
      <c r="K103" s="36">
        <v>-7.8453443850357518E-2</v>
      </c>
    </row>
    <row r="104" spans="9:11" x14ac:dyDescent="0.2">
      <c r="I104" s="45">
        <v>37016</v>
      </c>
      <c r="J104" s="36">
        <v>10.290221277687602</v>
      </c>
      <c r="K104" s="36">
        <v>-1.607851504160444</v>
      </c>
    </row>
    <row r="105" spans="9:11" x14ac:dyDescent="0.2">
      <c r="I105" s="45">
        <v>37047</v>
      </c>
      <c r="J105" s="36">
        <v>7.1027942849917842</v>
      </c>
      <c r="K105" s="36">
        <v>-0.60195505286622775</v>
      </c>
    </row>
    <row r="106" spans="9:11" x14ac:dyDescent="0.2">
      <c r="I106" s="45">
        <v>37077</v>
      </c>
      <c r="J106" s="36">
        <v>-3.6549258862250888</v>
      </c>
      <c r="K106" s="36">
        <v>-1.1335375271603902</v>
      </c>
    </row>
    <row r="107" spans="9:11" x14ac:dyDescent="0.2">
      <c r="I107" s="45">
        <v>37108</v>
      </c>
      <c r="J107" s="36">
        <v>-5.7952545961603503</v>
      </c>
      <c r="K107" s="36">
        <v>1.9991526770110686</v>
      </c>
    </row>
    <row r="108" spans="9:11" x14ac:dyDescent="0.2">
      <c r="I108" s="45">
        <v>37139</v>
      </c>
      <c r="J108" s="36">
        <v>-6.954553731692716</v>
      </c>
      <c r="K108" s="36">
        <v>0.56246376435363521</v>
      </c>
    </row>
    <row r="109" spans="9:11" x14ac:dyDescent="0.2">
      <c r="I109" s="45">
        <v>37169</v>
      </c>
      <c r="J109" s="36">
        <v>-8.3466601057940828</v>
      </c>
      <c r="K109" s="36">
        <v>3.6794506638672182</v>
      </c>
    </row>
    <row r="110" spans="9:11" x14ac:dyDescent="0.2">
      <c r="I110" s="45">
        <v>37200</v>
      </c>
      <c r="J110" s="36">
        <v>5.5395916076407437</v>
      </c>
      <c r="K110" s="36">
        <v>1.5777373868153908</v>
      </c>
    </row>
    <row r="111" spans="9:11" x14ac:dyDescent="0.2">
      <c r="I111" s="45">
        <v>37230</v>
      </c>
      <c r="J111" s="36">
        <v>7.3211901197172029</v>
      </c>
      <c r="K111" s="36">
        <v>-4.5158918212272257</v>
      </c>
    </row>
    <row r="112" spans="9:11" x14ac:dyDescent="0.2">
      <c r="I112" s="45">
        <v>37261</v>
      </c>
      <c r="J112" s="36">
        <v>-0.44113844960572535</v>
      </c>
      <c r="K112" s="36">
        <v>-1.8611536585574537</v>
      </c>
    </row>
    <row r="113" spans="9:11" x14ac:dyDescent="0.2">
      <c r="I113" s="45">
        <v>37292</v>
      </c>
      <c r="J113" s="36">
        <v>-4.1566353057017764</v>
      </c>
      <c r="K113" s="36">
        <v>1.9749232700892863</v>
      </c>
    </row>
    <row r="114" spans="9:11" x14ac:dyDescent="0.2">
      <c r="I114" s="45">
        <v>37320</v>
      </c>
      <c r="J114" s="36">
        <v>5.2180588640392012</v>
      </c>
      <c r="K114" s="36">
        <v>-1.3714911118141468</v>
      </c>
    </row>
    <row r="115" spans="9:11" x14ac:dyDescent="0.2">
      <c r="I115" s="45">
        <v>37351</v>
      </c>
      <c r="J115" s="36">
        <v>-3.0536808334853416</v>
      </c>
      <c r="K115" s="36">
        <v>-1.5006632047091943</v>
      </c>
    </row>
    <row r="116" spans="9:11" x14ac:dyDescent="0.2">
      <c r="I116" s="45">
        <v>37381</v>
      </c>
      <c r="J116" s="36">
        <v>-7.84478655938375</v>
      </c>
      <c r="K116" s="36">
        <v>1.1054586421165662</v>
      </c>
    </row>
    <row r="117" spans="9:11" x14ac:dyDescent="0.2">
      <c r="I117" s="45">
        <v>37412</v>
      </c>
      <c r="J117" s="36">
        <v>-4.591364919233774</v>
      </c>
      <c r="K117" s="36">
        <v>0.19064366175114328</v>
      </c>
    </row>
    <row r="118" spans="9:11" x14ac:dyDescent="0.2">
      <c r="I118" s="45">
        <v>37442</v>
      </c>
      <c r="J118" s="36">
        <v>-9.1488129704690149</v>
      </c>
      <c r="K118" s="36">
        <v>1.4231968929474346</v>
      </c>
    </row>
    <row r="119" spans="9:11" x14ac:dyDescent="0.2">
      <c r="I119" s="45">
        <v>37473</v>
      </c>
      <c r="J119" s="36">
        <v>-16.631335383933269</v>
      </c>
      <c r="K119" s="36">
        <v>4.8059213062511246</v>
      </c>
    </row>
    <row r="120" spans="9:11" x14ac:dyDescent="0.2">
      <c r="I120" s="45">
        <v>37504</v>
      </c>
      <c r="J120" s="36">
        <v>4.9675505438711642</v>
      </c>
      <c r="K120" s="36">
        <v>2.8101781087288829</v>
      </c>
    </row>
    <row r="121" spans="9:11" x14ac:dyDescent="0.2">
      <c r="I121" s="45">
        <v>37534</v>
      </c>
      <c r="J121" s="36">
        <v>-7.9378399132355364</v>
      </c>
      <c r="K121" s="36">
        <v>1.8055478259486997</v>
      </c>
    </row>
    <row r="122" spans="9:11" x14ac:dyDescent="0.2">
      <c r="I122" s="45">
        <v>37565</v>
      </c>
      <c r="J122" s="36">
        <v>12.412719705568733</v>
      </c>
      <c r="K122" s="36">
        <v>-3.1643889105818093</v>
      </c>
    </row>
    <row r="123" spans="9:11" x14ac:dyDescent="0.2">
      <c r="I123" s="45">
        <v>37595</v>
      </c>
      <c r="J123" s="36">
        <v>-0.78331178715950101</v>
      </c>
      <c r="K123" s="36">
        <v>-0.25161696156389424</v>
      </c>
    </row>
    <row r="124" spans="9:11" x14ac:dyDescent="0.2">
      <c r="I124" s="45">
        <v>37626</v>
      </c>
      <c r="J124" s="36">
        <v>-3.5912816203171807</v>
      </c>
      <c r="K124" s="36">
        <v>0.63062917387577155</v>
      </c>
    </row>
    <row r="125" spans="9:11" x14ac:dyDescent="0.2">
      <c r="I125" s="45">
        <v>37657</v>
      </c>
      <c r="J125" s="36">
        <v>-10.579391419089125</v>
      </c>
      <c r="K125" s="36">
        <v>0.31253515016149791</v>
      </c>
    </row>
    <row r="126" spans="9:11" x14ac:dyDescent="0.2">
      <c r="I126" s="45">
        <v>37685</v>
      </c>
      <c r="J126" s="36">
        <v>-2.7420047220433639</v>
      </c>
      <c r="K126" s="36">
        <v>3.1460494173240825</v>
      </c>
    </row>
    <row r="127" spans="9:11" x14ac:dyDescent="0.2">
      <c r="I127" s="45">
        <v>37716</v>
      </c>
      <c r="J127" s="36">
        <v>8.7871264367816053</v>
      </c>
      <c r="K127" s="36">
        <v>-2.5733210128665998</v>
      </c>
    </row>
    <row r="128" spans="9:11" x14ac:dyDescent="0.2">
      <c r="I128" s="45">
        <v>37746</v>
      </c>
      <c r="J128" s="36">
        <v>0.14284989772285892</v>
      </c>
      <c r="K128" s="36">
        <v>0.47103268536451892</v>
      </c>
    </row>
    <row r="129" spans="9:11" x14ac:dyDescent="0.2">
      <c r="I129" s="45">
        <v>37777</v>
      </c>
      <c r="J129" s="36">
        <v>1.9269888162059445</v>
      </c>
      <c r="K129" s="36">
        <v>4.6985562430588619</v>
      </c>
    </row>
    <row r="130" spans="9:11" x14ac:dyDescent="0.2">
      <c r="I130" s="45">
        <v>37807</v>
      </c>
      <c r="J130" s="36">
        <v>2.8014707100150846</v>
      </c>
      <c r="K130" s="36">
        <v>-2.5548744914117831</v>
      </c>
    </row>
    <row r="131" spans="9:11" x14ac:dyDescent="0.2">
      <c r="I131" s="45">
        <v>37838</v>
      </c>
      <c r="J131" s="36">
        <v>-0.72256546990921833</v>
      </c>
      <c r="K131" s="36">
        <v>-6.2615172885678385</v>
      </c>
    </row>
    <row r="132" spans="9:11" x14ac:dyDescent="0.2">
      <c r="I132" s="45">
        <v>37869</v>
      </c>
      <c r="J132" s="36">
        <v>9.0389795852130614</v>
      </c>
      <c r="K132" s="36">
        <v>1.2939829791469566</v>
      </c>
    </row>
    <row r="133" spans="9:11" x14ac:dyDescent="0.2">
      <c r="I133" s="45">
        <v>37899</v>
      </c>
      <c r="J133" s="36">
        <v>-4.2438087867603267</v>
      </c>
      <c r="K133" s="36">
        <v>1.2717207946412581</v>
      </c>
    </row>
    <row r="134" spans="9:11" x14ac:dyDescent="0.2">
      <c r="I134" s="45">
        <v>37930</v>
      </c>
      <c r="J134" s="36">
        <v>3.5576347712560499</v>
      </c>
      <c r="K134" s="36">
        <v>-1.2379620121127877</v>
      </c>
    </row>
    <row r="135" spans="9:11" x14ac:dyDescent="0.2">
      <c r="I135" s="45">
        <v>37960</v>
      </c>
      <c r="J135" s="36">
        <v>-4.3471735492536965</v>
      </c>
      <c r="K135" s="36">
        <v>1.284591452431638</v>
      </c>
    </row>
    <row r="136" spans="9:11" x14ac:dyDescent="0.2">
      <c r="I136" s="45">
        <v>37991</v>
      </c>
      <c r="J136" s="36">
        <v>1.412925799821128</v>
      </c>
      <c r="K136" s="36">
        <v>-1.3717676159374037</v>
      </c>
    </row>
    <row r="137" spans="9:11" x14ac:dyDescent="0.2">
      <c r="I137" s="45">
        <v>38022</v>
      </c>
      <c r="J137" s="36">
        <v>1.2485785235210745</v>
      </c>
      <c r="K137" s="36">
        <v>1.7211421827361197</v>
      </c>
    </row>
    <row r="138" spans="9:11" x14ac:dyDescent="0.2">
      <c r="I138" s="45">
        <v>38051</v>
      </c>
      <c r="J138" s="36">
        <v>4.1893017321078041</v>
      </c>
      <c r="K138" s="36">
        <v>2.9030230759314235</v>
      </c>
    </row>
    <row r="139" spans="9:11" x14ac:dyDescent="0.2">
      <c r="I139" s="45">
        <v>38082</v>
      </c>
      <c r="J139" s="36">
        <v>2.9311255169986064</v>
      </c>
      <c r="K139" s="36">
        <v>-3.0834279450338662</v>
      </c>
    </row>
    <row r="140" spans="9:11" x14ac:dyDescent="0.2">
      <c r="I140" s="45">
        <v>38112</v>
      </c>
      <c r="J140" s="36">
        <v>-3.3164483011662758</v>
      </c>
      <c r="K140" s="36">
        <v>-2.7646493290352789</v>
      </c>
    </row>
    <row r="141" spans="9:11" x14ac:dyDescent="0.2">
      <c r="I141" s="45">
        <v>38143</v>
      </c>
      <c r="J141" s="36">
        <v>-0.66246149764933093</v>
      </c>
      <c r="K141" s="36">
        <v>-1.4199659341115893</v>
      </c>
    </row>
    <row r="142" spans="9:11" x14ac:dyDescent="0.2">
      <c r="I142" s="45">
        <v>38173</v>
      </c>
      <c r="J142" s="36">
        <v>0.10978658378274261</v>
      </c>
      <c r="K142" s="36">
        <v>2.4493029684945178</v>
      </c>
    </row>
    <row r="143" spans="9:11" x14ac:dyDescent="0.2">
      <c r="I143" s="45">
        <v>38204</v>
      </c>
      <c r="J143" s="36">
        <v>-2.0406802267422446</v>
      </c>
      <c r="K143" s="36">
        <v>0.48456627616164161</v>
      </c>
    </row>
    <row r="144" spans="9:11" x14ac:dyDescent="0.2">
      <c r="I144" s="45">
        <v>38235</v>
      </c>
      <c r="J144" s="36">
        <v>3.1822754744669055</v>
      </c>
      <c r="K144" s="36">
        <v>0.80808246207251833</v>
      </c>
    </row>
    <row r="145" spans="9:11" x14ac:dyDescent="0.2">
      <c r="I145" s="45">
        <v>38265</v>
      </c>
      <c r="J145" s="36">
        <v>-9.6768517975480639E-2</v>
      </c>
      <c r="K145" s="36">
        <v>0.93967253589759969</v>
      </c>
    </row>
    <row r="146" spans="9:11" x14ac:dyDescent="0.2">
      <c r="I146" s="45">
        <v>38296</v>
      </c>
      <c r="J146" s="36">
        <v>-1.88441104816696</v>
      </c>
      <c r="K146" s="36">
        <v>-0.10942591624089446</v>
      </c>
    </row>
    <row r="147" spans="9:11" x14ac:dyDescent="0.2">
      <c r="I147" s="45">
        <v>38326</v>
      </c>
      <c r="J147" s="36">
        <v>-1.1771920902264643</v>
      </c>
      <c r="K147" s="36">
        <v>-0.71526955513133839</v>
      </c>
    </row>
    <row r="148" spans="9:11" x14ac:dyDescent="0.2">
      <c r="I148" s="45">
        <v>38357</v>
      </c>
      <c r="J148" s="36">
        <v>0.22023097764391317</v>
      </c>
      <c r="K148" s="36">
        <v>-4.7865910547535313E-2</v>
      </c>
    </row>
    <row r="149" spans="9:11" x14ac:dyDescent="0.2">
      <c r="I149" s="45">
        <v>38388</v>
      </c>
      <c r="J149" s="36">
        <v>4.3662450443647298</v>
      </c>
      <c r="K149" s="36">
        <v>1.6274086459635357</v>
      </c>
    </row>
    <row r="150" spans="9:11" x14ac:dyDescent="0.2">
      <c r="I150" s="45">
        <v>38416</v>
      </c>
      <c r="J150" s="36">
        <v>-0.52602256036235373</v>
      </c>
      <c r="K150" s="36">
        <v>-1.9615516704337528</v>
      </c>
    </row>
    <row r="151" spans="9:11" x14ac:dyDescent="0.2">
      <c r="I151" s="45">
        <v>38447</v>
      </c>
      <c r="J151" s="36">
        <v>-0.15711376200173513</v>
      </c>
      <c r="K151" s="36">
        <v>-1.2472403483474723</v>
      </c>
    </row>
    <row r="152" spans="9:11" x14ac:dyDescent="0.2">
      <c r="I152" s="45">
        <v>38477</v>
      </c>
      <c r="J152" s="36">
        <v>-1.3914791933791917</v>
      </c>
      <c r="K152" s="36">
        <v>2.5268107573007774</v>
      </c>
    </row>
    <row r="153" spans="9:11" x14ac:dyDescent="0.2">
      <c r="I153" s="45">
        <v>38508</v>
      </c>
      <c r="J153" s="36">
        <v>7.73970477414779</v>
      </c>
      <c r="K153" s="36">
        <v>1.3107182800543959</v>
      </c>
    </row>
    <row r="154" spans="9:11" x14ac:dyDescent="0.2">
      <c r="I154" s="45">
        <v>38538</v>
      </c>
      <c r="J154" s="36">
        <v>3.9840910649386365</v>
      </c>
      <c r="K154" s="36">
        <v>-1.0809136539805613</v>
      </c>
    </row>
    <row r="155" spans="9:11" x14ac:dyDescent="0.2">
      <c r="I155" s="45">
        <v>38569</v>
      </c>
      <c r="J155" s="36">
        <v>-1.6387496702717048</v>
      </c>
      <c r="K155" s="36">
        <v>-2.2175654952589703</v>
      </c>
    </row>
    <row r="156" spans="9:11" x14ac:dyDescent="0.2">
      <c r="I156" s="45">
        <v>38600</v>
      </c>
      <c r="J156" s="36">
        <v>-1.9167979618517597</v>
      </c>
      <c r="K156" s="36">
        <v>2.71042540787756</v>
      </c>
    </row>
    <row r="157" spans="9:11" x14ac:dyDescent="0.2">
      <c r="I157" s="45">
        <v>38630</v>
      </c>
      <c r="J157" s="36">
        <v>3.0062339366763289</v>
      </c>
      <c r="K157" s="36">
        <v>-2.6181149572307985</v>
      </c>
    </row>
    <row r="158" spans="9:11" x14ac:dyDescent="0.2">
      <c r="I158" s="45">
        <v>38661</v>
      </c>
      <c r="J158" s="36">
        <v>3.3140005574210027</v>
      </c>
      <c r="K158" s="36">
        <v>-2.3338669293600982</v>
      </c>
    </row>
    <row r="159" spans="9:11" x14ac:dyDescent="0.2">
      <c r="I159" s="45">
        <v>38691</v>
      </c>
      <c r="J159" s="36">
        <v>4.1236318791428888</v>
      </c>
      <c r="K159" s="36">
        <v>0.6791513969673596</v>
      </c>
    </row>
    <row r="160" spans="9:11" x14ac:dyDescent="0.2">
      <c r="I160" s="45">
        <v>38722</v>
      </c>
      <c r="J160" s="36">
        <v>-1.7303279295284597</v>
      </c>
      <c r="K160" s="36">
        <v>1.6480213725162829</v>
      </c>
    </row>
    <row r="161" spans="9:11" x14ac:dyDescent="0.2">
      <c r="I161" s="45">
        <v>38753</v>
      </c>
      <c r="J161" s="36">
        <v>0.14877309278545403</v>
      </c>
      <c r="K161" s="36">
        <v>-1.3757248221824427</v>
      </c>
    </row>
    <row r="162" spans="9:11" x14ac:dyDescent="0.2">
      <c r="I162" s="45">
        <v>38781</v>
      </c>
      <c r="J162" s="36">
        <v>1.9537420082737775</v>
      </c>
      <c r="K162" s="36">
        <v>-1.4898525137617631</v>
      </c>
    </row>
    <row r="163" spans="9:11" x14ac:dyDescent="0.2">
      <c r="I163" s="45">
        <v>38812</v>
      </c>
      <c r="J163" s="36">
        <v>-0.12357291724303233</v>
      </c>
      <c r="K163" s="36">
        <v>-1.2055118775889777</v>
      </c>
    </row>
    <row r="164" spans="9:11" x14ac:dyDescent="0.2">
      <c r="I164" s="45">
        <v>38842</v>
      </c>
      <c r="J164" s="36">
        <v>-2.5157581129659654</v>
      </c>
      <c r="K164" s="36">
        <v>-2.070783132530122</v>
      </c>
    </row>
    <row r="165" spans="9:11" x14ac:dyDescent="0.2">
      <c r="I165" s="45">
        <v>38873</v>
      </c>
      <c r="J165" s="36">
        <v>-5.8742556939805119</v>
      </c>
      <c r="K165" s="36">
        <v>0.48320576002236665</v>
      </c>
    </row>
    <row r="166" spans="9:11" x14ac:dyDescent="0.2">
      <c r="I166" s="45">
        <v>38903</v>
      </c>
      <c r="J166" s="36">
        <v>2.3647243502877919</v>
      </c>
      <c r="K166" s="36">
        <v>-1.5435185265702633</v>
      </c>
    </row>
    <row r="167" spans="9:11" x14ac:dyDescent="0.2">
      <c r="I167" s="45">
        <v>38934</v>
      </c>
      <c r="J167" s="36">
        <v>-0.58587990117372934</v>
      </c>
      <c r="K167" s="36">
        <v>2.5189450813446186</v>
      </c>
    </row>
    <row r="168" spans="9:11" x14ac:dyDescent="0.2">
      <c r="I168" s="45">
        <v>38965</v>
      </c>
      <c r="J168" s="36">
        <v>3.5682973295450719</v>
      </c>
      <c r="K168" s="36">
        <v>0.83739683305478263</v>
      </c>
    </row>
    <row r="169" spans="9:11" x14ac:dyDescent="0.2">
      <c r="I169" s="45">
        <v>38995</v>
      </c>
      <c r="J169" s="36">
        <v>4.1741455031506689</v>
      </c>
      <c r="K169" s="36">
        <v>1.3490422568904477</v>
      </c>
    </row>
    <row r="170" spans="9:11" x14ac:dyDescent="0.2">
      <c r="I170" s="45">
        <v>39026</v>
      </c>
      <c r="J170" s="36">
        <v>0.7985678324412796</v>
      </c>
      <c r="K170" s="36">
        <v>-0.84299262381454154</v>
      </c>
    </row>
    <row r="171" spans="9:11" x14ac:dyDescent="0.2">
      <c r="I171" s="45">
        <v>39056</v>
      </c>
      <c r="J171" s="36">
        <v>-0.79951507804213084</v>
      </c>
      <c r="K171" s="36">
        <v>2.0726886291179616</v>
      </c>
    </row>
    <row r="172" spans="9:11" x14ac:dyDescent="0.2">
      <c r="I172" s="45">
        <v>39087</v>
      </c>
      <c r="J172" s="36">
        <v>2.206457447328551</v>
      </c>
      <c r="K172" s="36">
        <v>-1.6174841541524094</v>
      </c>
    </row>
    <row r="173" spans="9:11" x14ac:dyDescent="0.2">
      <c r="I173" s="45">
        <v>39118</v>
      </c>
      <c r="J173" s="36">
        <v>3.2983194533290994</v>
      </c>
      <c r="K173" s="36">
        <v>-1.2368672801618668</v>
      </c>
    </row>
    <row r="174" spans="9:11" x14ac:dyDescent="0.2">
      <c r="I174" s="45">
        <v>39146</v>
      </c>
      <c r="J174" s="36">
        <v>-6.100101861283445</v>
      </c>
      <c r="K174" s="36">
        <v>2.2046974112806468</v>
      </c>
    </row>
    <row r="175" spans="9:11" x14ac:dyDescent="0.2">
      <c r="I175" s="45">
        <v>39177</v>
      </c>
      <c r="J175" s="36">
        <v>2.6016370405068932</v>
      </c>
      <c r="K175" s="36">
        <v>-1.2404388083735902</v>
      </c>
    </row>
    <row r="176" spans="9:11" x14ac:dyDescent="0.2">
      <c r="I176" s="45">
        <v>39207</v>
      </c>
      <c r="J176" s="36">
        <v>3.2174931667317419</v>
      </c>
      <c r="K176" s="36">
        <v>0.28194610753016364</v>
      </c>
    </row>
    <row r="177" spans="9:11" x14ac:dyDescent="0.2">
      <c r="I177" s="45">
        <v>39238</v>
      </c>
      <c r="J177" s="36">
        <v>2.3669982132568235</v>
      </c>
      <c r="K177" s="36">
        <v>-2.6658762755642091</v>
      </c>
    </row>
    <row r="178" spans="9:11" x14ac:dyDescent="0.2">
      <c r="I178" s="45">
        <v>39268</v>
      </c>
      <c r="J178" s="36">
        <v>-0.79254980442099821</v>
      </c>
      <c r="K178" s="36">
        <v>-1.3233336523486787</v>
      </c>
    </row>
    <row r="179" spans="9:11" x14ac:dyDescent="0.2">
      <c r="I179" s="45">
        <v>39299</v>
      </c>
      <c r="J179" s="36">
        <v>-7.0816188522241541</v>
      </c>
      <c r="K179" s="36">
        <v>3.5753332863088163</v>
      </c>
    </row>
    <row r="180" spans="9:11" x14ac:dyDescent="0.2">
      <c r="I180" s="45">
        <v>39330</v>
      </c>
      <c r="J180" s="36">
        <v>3.8313278277012723</v>
      </c>
      <c r="K180" s="36">
        <v>1.6514714269904893</v>
      </c>
    </row>
    <row r="181" spans="9:11" x14ac:dyDescent="0.2">
      <c r="I181" s="45">
        <v>39360</v>
      </c>
      <c r="J181" s="36">
        <v>2.2821638382170417</v>
      </c>
      <c r="K181" s="36">
        <v>-1.3382351709641482</v>
      </c>
    </row>
    <row r="182" spans="9:11" x14ac:dyDescent="0.2">
      <c r="I182" s="45">
        <v>39391</v>
      </c>
      <c r="J182" s="36">
        <v>-5.6594130935995519</v>
      </c>
      <c r="K182" s="36">
        <v>2.5557451215061122</v>
      </c>
    </row>
    <row r="183" spans="9:11" x14ac:dyDescent="0.2">
      <c r="I183" s="45">
        <v>39421</v>
      </c>
      <c r="J183" s="36">
        <v>-2.1520997746943622</v>
      </c>
      <c r="K183" s="36">
        <v>3.3006687413096731</v>
      </c>
    </row>
    <row r="184" spans="9:11" x14ac:dyDescent="0.2">
      <c r="I184" s="45">
        <v>39452</v>
      </c>
      <c r="J184" s="36">
        <v>-5.5665303554576928</v>
      </c>
      <c r="K184" s="36">
        <v>0.41021696631734167</v>
      </c>
    </row>
    <row r="185" spans="9:11" x14ac:dyDescent="0.2">
      <c r="I185" s="45">
        <v>39483</v>
      </c>
      <c r="J185" s="36">
        <v>-4.3557047874112191</v>
      </c>
      <c r="K185" s="36">
        <v>2.1488302320385544</v>
      </c>
    </row>
    <row r="186" spans="9:11" x14ac:dyDescent="0.2">
      <c r="I186" s="45">
        <v>39512</v>
      </c>
      <c r="J186" s="36">
        <v>-4.0434927976373034</v>
      </c>
      <c r="K186" s="36">
        <v>-0.94284352859385379</v>
      </c>
    </row>
    <row r="187" spans="9:11" x14ac:dyDescent="0.2">
      <c r="I187" s="45">
        <v>39543</v>
      </c>
      <c r="J187" s="36">
        <v>-0.20397941332326353</v>
      </c>
      <c r="K187" s="36">
        <v>1.8184685750335237</v>
      </c>
    </row>
    <row r="188" spans="9:11" x14ac:dyDescent="0.2">
      <c r="I188" s="45">
        <v>39573</v>
      </c>
      <c r="J188" s="36">
        <v>4.556365382097507</v>
      </c>
      <c r="K188" s="36">
        <v>-2.9423154372812199</v>
      </c>
    </row>
    <row r="189" spans="9:11" x14ac:dyDescent="0.2">
      <c r="I189" s="45">
        <v>39604</v>
      </c>
      <c r="J189" s="36">
        <v>-0.33880146373364212</v>
      </c>
      <c r="K189" s="36">
        <v>-1.4323675159794662</v>
      </c>
    </row>
    <row r="190" spans="9:11" x14ac:dyDescent="0.2">
      <c r="I190" s="45">
        <v>39634</v>
      </c>
      <c r="J190" s="36">
        <v>-10.812188056263299</v>
      </c>
      <c r="K190" s="36">
        <v>0.45821796926862285</v>
      </c>
    </row>
    <row r="191" spans="9:11" x14ac:dyDescent="0.2">
      <c r="I191" s="45">
        <v>39665</v>
      </c>
      <c r="J191" s="36">
        <v>3.2269930967550065</v>
      </c>
      <c r="K191" s="36">
        <v>-0.23692863129391797</v>
      </c>
    </row>
    <row r="192" spans="9:11" x14ac:dyDescent="0.2">
      <c r="I192" s="45">
        <v>39696</v>
      </c>
      <c r="J192" s="36">
        <v>5.2559349149663683</v>
      </c>
      <c r="K192" s="36">
        <v>3.0001454028466634</v>
      </c>
    </row>
    <row r="193" spans="9:11" x14ac:dyDescent="0.2">
      <c r="I193" s="45">
        <v>39726</v>
      </c>
      <c r="J193" s="36">
        <v>-8.4468488197030709</v>
      </c>
      <c r="K193" s="36">
        <v>0.1795965743325903</v>
      </c>
    </row>
    <row r="194" spans="9:11" x14ac:dyDescent="0.2">
      <c r="I194" s="45">
        <v>39757</v>
      </c>
      <c r="J194" s="36">
        <v>-8.1529564498996905</v>
      </c>
      <c r="K194" s="36">
        <v>-0.41100072805842586</v>
      </c>
    </row>
    <row r="195" spans="9:11" x14ac:dyDescent="0.2">
      <c r="I195" s="45">
        <v>39787</v>
      </c>
      <c r="J195" s="36">
        <v>-4.9634636306785422</v>
      </c>
      <c r="K195" s="36">
        <v>9.9141590415998557</v>
      </c>
    </row>
    <row r="196" spans="9:11" x14ac:dyDescent="0.2">
      <c r="I196" s="45">
        <v>39818</v>
      </c>
      <c r="J196" s="36">
        <v>-1.3412776390629182</v>
      </c>
      <c r="K196" s="36">
        <v>1.3123641148872722</v>
      </c>
    </row>
    <row r="197" spans="9:11" x14ac:dyDescent="0.2">
      <c r="I197" s="45">
        <v>39849</v>
      </c>
      <c r="J197" s="36">
        <v>-2.9437830627404069</v>
      </c>
      <c r="K197" s="36">
        <v>-3.4081844429227957</v>
      </c>
    </row>
    <row r="198" spans="9:11" x14ac:dyDescent="0.2">
      <c r="I198" s="45">
        <v>39877</v>
      </c>
      <c r="J198" s="36">
        <v>-17.14785981229231</v>
      </c>
      <c r="K198" s="36">
        <v>0.95592373073354819</v>
      </c>
    </row>
    <row r="199" spans="9:11" x14ac:dyDescent="0.2">
      <c r="I199" s="45">
        <v>39908</v>
      </c>
      <c r="J199" s="36">
        <v>15.585197641257537</v>
      </c>
      <c r="K199" s="36">
        <v>-0.78616466023354215</v>
      </c>
    </row>
    <row r="200" spans="9:11" x14ac:dyDescent="0.2">
      <c r="I200" s="45">
        <v>39938</v>
      </c>
      <c r="J200" s="36">
        <v>8.0458075297355887</v>
      </c>
      <c r="K200" s="36">
        <v>-2.0758392738575582</v>
      </c>
    </row>
    <row r="201" spans="9:11" x14ac:dyDescent="0.2">
      <c r="I201" s="45">
        <v>39969</v>
      </c>
      <c r="J201" s="36">
        <v>-0.5768093526816308</v>
      </c>
      <c r="K201" s="36">
        <v>-5.7463042441583241</v>
      </c>
    </row>
    <row r="202" spans="9:11" x14ac:dyDescent="0.2">
      <c r="I202" s="45">
        <v>39999</v>
      </c>
      <c r="J202" s="36">
        <v>-4.4664671809372125</v>
      </c>
      <c r="K202" s="36">
        <v>3.1423918542878897</v>
      </c>
    </row>
    <row r="203" spans="9:11" x14ac:dyDescent="0.2">
      <c r="I203" s="45">
        <v>40030</v>
      </c>
      <c r="J203" s="36">
        <v>9.0498084291187766</v>
      </c>
      <c r="K203" s="36">
        <v>-2.1928244590752</v>
      </c>
    </row>
    <row r="204" spans="9:11" x14ac:dyDescent="0.2">
      <c r="I204" s="45">
        <v>40061</v>
      </c>
      <c r="J204" s="36">
        <v>2.7036048064085425</v>
      </c>
      <c r="K204" s="36">
        <v>2.748217224355451</v>
      </c>
    </row>
    <row r="205" spans="9:11" x14ac:dyDescent="0.2">
      <c r="I205" s="45">
        <v>40091</v>
      </c>
      <c r="J205" s="36">
        <v>-0.27453261036895443</v>
      </c>
      <c r="K205" s="36">
        <v>1.7366169146640142</v>
      </c>
    </row>
    <row r="206" spans="9:11" x14ac:dyDescent="0.2">
      <c r="I206" s="45">
        <v>40122</v>
      </c>
      <c r="J206" s="36">
        <v>0.88418163886625312</v>
      </c>
      <c r="K206" s="36">
        <v>-2.4536335967134923</v>
      </c>
    </row>
    <row r="207" spans="9:11" x14ac:dyDescent="0.2">
      <c r="I207" s="45">
        <v>40152</v>
      </c>
      <c r="J207" s="36">
        <v>3.918868373627133</v>
      </c>
      <c r="K207" s="36">
        <v>0.30125805980586984</v>
      </c>
    </row>
    <row r="208" spans="9:11" x14ac:dyDescent="0.2">
      <c r="I208" s="45">
        <v>40183</v>
      </c>
      <c r="J208" s="36">
        <v>6.2758699671154909</v>
      </c>
      <c r="K208" s="36">
        <v>-2.28099882770299</v>
      </c>
    </row>
    <row r="209" spans="9:11" x14ac:dyDescent="0.2">
      <c r="I209" s="45">
        <v>40214</v>
      </c>
      <c r="J209" s="36">
        <v>-0.94136301359319086</v>
      </c>
      <c r="K209" s="36">
        <v>1.5838665161209464</v>
      </c>
    </row>
    <row r="210" spans="9:11" x14ac:dyDescent="0.2">
      <c r="I210" s="45">
        <v>40242</v>
      </c>
      <c r="J210" s="36">
        <v>7.5426395741870262</v>
      </c>
      <c r="K210" s="36">
        <v>-0.8498255580598344</v>
      </c>
    </row>
    <row r="211" spans="9:11" x14ac:dyDescent="0.2">
      <c r="I211" s="45">
        <v>40273</v>
      </c>
      <c r="J211" s="36">
        <v>5.1957341656912535</v>
      </c>
      <c r="K211" s="36">
        <v>-2.4927017243392724</v>
      </c>
    </row>
    <row r="212" spans="9:11" x14ac:dyDescent="0.2">
      <c r="I212" s="45">
        <v>40303</v>
      </c>
      <c r="J212" s="36">
        <v>3.2151271008908355</v>
      </c>
      <c r="K212" s="36">
        <v>3.7340422983880677</v>
      </c>
    </row>
    <row r="213" spans="9:11" x14ac:dyDescent="0.2">
      <c r="I213" s="45">
        <v>40334</v>
      </c>
      <c r="J213" s="36">
        <v>-2.1533997897174428</v>
      </c>
      <c r="K213" s="36">
        <v>2.873085507581008</v>
      </c>
    </row>
    <row r="214" spans="9:11" x14ac:dyDescent="0.2">
      <c r="I214" s="45">
        <v>40364</v>
      </c>
      <c r="J214" s="36">
        <v>-7.6374814673757925</v>
      </c>
      <c r="K214" s="36">
        <v>1.8382050380434327</v>
      </c>
    </row>
    <row r="215" spans="9:11" x14ac:dyDescent="0.2">
      <c r="I215" s="45">
        <v>40395</v>
      </c>
      <c r="J215" s="36">
        <v>5.0335768143261168</v>
      </c>
      <c r="K215" s="36">
        <v>0.57890096973257599</v>
      </c>
    </row>
    <row r="216" spans="9:11" x14ac:dyDescent="0.2">
      <c r="I216" s="45">
        <v>40426</v>
      </c>
      <c r="J216" s="36">
        <v>0.5657440901825479</v>
      </c>
      <c r="K216" s="36">
        <v>2.0086481432786982</v>
      </c>
    </row>
    <row r="217" spans="9:11" x14ac:dyDescent="0.2">
      <c r="I217" s="45">
        <v>40456</v>
      </c>
      <c r="J217" s="36">
        <v>-2.1889007396253839</v>
      </c>
      <c r="K217" s="36">
        <v>1.9920090506809571</v>
      </c>
    </row>
    <row r="218" spans="9:11" x14ac:dyDescent="0.2">
      <c r="I218" s="45">
        <v>40487</v>
      </c>
      <c r="J218" s="36">
        <v>4.3097119969211279</v>
      </c>
      <c r="K218" s="36">
        <v>-0.12496489750070015</v>
      </c>
    </row>
    <row r="219" spans="9:11" x14ac:dyDescent="0.2">
      <c r="I219" s="45">
        <v>40517</v>
      </c>
      <c r="J219" s="36">
        <v>4.9864032031047172</v>
      </c>
      <c r="K219" s="36">
        <v>-3.8091689980458669</v>
      </c>
    </row>
    <row r="220" spans="9:11" x14ac:dyDescent="0.2">
      <c r="I220" s="45">
        <v>40548</v>
      </c>
      <c r="J220" s="36">
        <v>6.274405164783678</v>
      </c>
      <c r="K220" s="36">
        <v>-3.7860906294074113</v>
      </c>
    </row>
    <row r="221" spans="9:11" x14ac:dyDescent="0.2">
      <c r="I221" s="45">
        <v>40579</v>
      </c>
      <c r="J221" s="36">
        <v>-0.2963924628131514</v>
      </c>
      <c r="K221" s="36">
        <v>-1.3466300071394905</v>
      </c>
    </row>
    <row r="222" spans="9:11" x14ac:dyDescent="0.2">
      <c r="I222" s="45">
        <v>40607</v>
      </c>
      <c r="J222" s="36">
        <v>-2.1521622966225169</v>
      </c>
      <c r="K222" s="36">
        <v>1.358852558723207</v>
      </c>
    </row>
    <row r="223" spans="9:11" x14ac:dyDescent="0.2">
      <c r="I223" s="45">
        <v>40638</v>
      </c>
      <c r="J223" s="36">
        <v>-0.52288320182788972</v>
      </c>
      <c r="K223" s="36">
        <v>1.4431768119468804E-2</v>
      </c>
    </row>
    <row r="224" spans="9:11" x14ac:dyDescent="0.2">
      <c r="I224" s="45">
        <v>40668</v>
      </c>
      <c r="J224" s="36">
        <v>-2.4880739039349851</v>
      </c>
      <c r="K224" s="36">
        <v>2.6262027902455314</v>
      </c>
    </row>
    <row r="225" spans="9:11" x14ac:dyDescent="0.2">
      <c r="I225" s="45">
        <v>40699</v>
      </c>
      <c r="J225" s="36">
        <v>-2.0953453307707663</v>
      </c>
      <c r="K225" s="36">
        <v>1.7612538943691642</v>
      </c>
    </row>
    <row r="226" spans="9:11" x14ac:dyDescent="0.2">
      <c r="I226" s="45">
        <v>40729</v>
      </c>
      <c r="J226" s="36">
        <v>3.7925906341914719</v>
      </c>
      <c r="K226" s="36">
        <v>-1.303168473794825</v>
      </c>
    </row>
    <row r="227" spans="9:11" x14ac:dyDescent="0.2">
      <c r="I227" s="45">
        <v>40760</v>
      </c>
      <c r="J227" s="36">
        <v>-8.5134971630166802</v>
      </c>
      <c r="K227" s="36">
        <v>4.9558278501904667</v>
      </c>
    </row>
    <row r="228" spans="9:11" x14ac:dyDescent="0.2">
      <c r="I228" s="45">
        <v>40791</v>
      </c>
      <c r="J228" s="36">
        <v>-1.324618554404736</v>
      </c>
      <c r="K228" s="36">
        <v>5.4743936256098857</v>
      </c>
    </row>
    <row r="229" spans="9:11" x14ac:dyDescent="0.2">
      <c r="I229" s="45">
        <v>40821</v>
      </c>
      <c r="J229" s="36">
        <v>3.5461092966330807</v>
      </c>
      <c r="K229" s="36">
        <v>0.6476175262741114</v>
      </c>
    </row>
    <row r="230" spans="9:11" x14ac:dyDescent="0.2">
      <c r="I230" s="45">
        <v>40852</v>
      </c>
      <c r="J230" s="36">
        <v>6.0767910183393603</v>
      </c>
      <c r="K230" s="36">
        <v>-1.2571421013649418</v>
      </c>
    </row>
    <row r="231" spans="9:11" x14ac:dyDescent="0.2">
      <c r="I231" s="45">
        <v>40882</v>
      </c>
      <c r="J231" s="36">
        <v>2.7468081280345253</v>
      </c>
      <c r="K231" s="36">
        <v>0.17077989485315975</v>
      </c>
    </row>
    <row r="233" spans="9:11" x14ac:dyDescent="0.2">
      <c r="J233" s="36"/>
      <c r="K233" s="36"/>
    </row>
    <row r="234" spans="9:11" x14ac:dyDescent="0.2">
      <c r="J234" s="36"/>
      <c r="K234" s="36"/>
    </row>
    <row r="236" spans="9:11" x14ac:dyDescent="0.2">
      <c r="K236" s="36"/>
    </row>
    <row r="237" spans="9:11" x14ac:dyDescent="0.2">
      <c r="K237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D180"/>
  <sheetViews>
    <sheetView showGridLines="0" showRowColHeaders="0" zoomScaleNormal="100" workbookViewId="0"/>
  </sheetViews>
  <sheetFormatPr defaultColWidth="5.7109375" defaultRowHeight="12.75" x14ac:dyDescent="0.2"/>
  <cols>
    <col min="1" max="1" width="5.7109375" customWidth="1"/>
    <col min="2" max="2" width="8.5703125" customWidth="1"/>
    <col min="3" max="3" width="8.140625" customWidth="1"/>
    <col min="4" max="4" width="8" customWidth="1"/>
    <col min="5" max="5" width="8.140625" customWidth="1"/>
    <col min="6" max="6" width="5.7109375" customWidth="1"/>
    <col min="7" max="7" width="6.28515625" customWidth="1"/>
    <col min="8" max="8" width="6" customWidth="1"/>
    <col min="9" max="9" width="6.85546875" customWidth="1"/>
  </cols>
  <sheetData>
    <row r="1" spans="1:25" ht="13.5" thickBot="1" x14ac:dyDescent="0.25">
      <c r="A1" s="2"/>
      <c r="O1" s="34"/>
      <c r="P1" s="34"/>
      <c r="Q1" s="34"/>
      <c r="R1" s="34"/>
      <c r="S1" s="34"/>
      <c r="T1" s="35"/>
      <c r="U1" s="34"/>
      <c r="V1" s="34"/>
      <c r="W1" s="30"/>
    </row>
    <row r="2" spans="1:25" ht="13.5" thickBot="1" x14ac:dyDescent="0.25">
      <c r="A2" s="2"/>
      <c r="C2" s="6" t="s">
        <v>8</v>
      </c>
      <c r="E2" s="76">
        <v>0.1</v>
      </c>
      <c r="O2" s="34"/>
      <c r="P2" s="34"/>
      <c r="Q2" s="34"/>
      <c r="R2" s="34"/>
      <c r="S2" s="34"/>
      <c r="T2" s="34"/>
      <c r="U2" s="34"/>
      <c r="V2" s="34"/>
      <c r="W2" s="30"/>
    </row>
    <row r="3" spans="1:25" ht="13.5" thickBot="1" x14ac:dyDescent="0.25">
      <c r="A3" s="2"/>
      <c r="C3" s="8" t="s">
        <v>0</v>
      </c>
      <c r="E3" s="7">
        <v>1000</v>
      </c>
      <c r="O3" s="34"/>
      <c r="P3" s="34"/>
      <c r="Q3" s="34"/>
      <c r="R3" s="34"/>
      <c r="S3" s="34"/>
      <c r="T3" s="34"/>
      <c r="U3" s="34"/>
      <c r="V3" s="34"/>
      <c r="W3" s="30"/>
    </row>
    <row r="4" spans="1:25" ht="13.5" thickBot="1" x14ac:dyDescent="0.25">
      <c r="A4" s="2"/>
      <c r="C4" s="6" t="s">
        <v>1</v>
      </c>
      <c r="E4" s="77">
        <v>1000</v>
      </c>
      <c r="O4" s="34"/>
      <c r="P4" s="34"/>
      <c r="Q4" s="34"/>
      <c r="V4" s="34"/>
      <c r="W4" s="30"/>
    </row>
    <row r="5" spans="1:25" ht="13.5" thickBot="1" x14ac:dyDescent="0.25">
      <c r="A5" s="120" t="s">
        <v>59</v>
      </c>
      <c r="B5" s="120"/>
      <c r="C5" s="5"/>
      <c r="D5" s="90"/>
      <c r="E5" s="90"/>
      <c r="F5" s="90"/>
      <c r="G5" s="91" t="s">
        <v>58</v>
      </c>
      <c r="H5" s="92"/>
      <c r="I5" s="30"/>
      <c r="J5" s="93">
        <f>COUNT(B7:B26)</f>
        <v>2</v>
      </c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5" x14ac:dyDescent="0.2">
      <c r="A6" s="15" t="s">
        <v>12</v>
      </c>
      <c r="B6" s="82">
        <v>0</v>
      </c>
      <c r="C6" s="64">
        <v>1</v>
      </c>
      <c r="D6" s="94">
        <v>2</v>
      </c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</row>
    <row r="7" spans="1:25" x14ac:dyDescent="0.2">
      <c r="A7" s="2" t="s">
        <v>11</v>
      </c>
      <c r="B7" s="98">
        <f>Solutions!X46</f>
        <v>0.82752952740264207</v>
      </c>
      <c r="C7" s="98">
        <f>Solutions!X47</f>
        <v>29.23021327224836</v>
      </c>
      <c r="D7" s="98">
        <f>Solutions!X51</f>
        <v>-2.8789276451434631</v>
      </c>
      <c r="E7" s="37"/>
      <c r="F7" s="37"/>
      <c r="G7" s="114" t="s">
        <v>72</v>
      </c>
      <c r="H7" s="37"/>
      <c r="I7" s="37"/>
      <c r="J7" s="37"/>
      <c r="K7" s="37"/>
      <c r="L7" s="37"/>
      <c r="M7" s="84"/>
      <c r="N7" s="84"/>
      <c r="O7" s="84"/>
      <c r="P7" s="84"/>
      <c r="Q7" s="84"/>
      <c r="R7" s="84"/>
      <c r="S7" s="95"/>
      <c r="T7" s="95"/>
      <c r="U7" s="95"/>
      <c r="V7" s="95"/>
    </row>
    <row r="8" spans="1:25" x14ac:dyDescent="0.2">
      <c r="A8" s="2" t="s">
        <v>57</v>
      </c>
      <c r="B8" s="98">
        <f>Solutions!Y46</f>
        <v>0.13331338652684457</v>
      </c>
      <c r="C8" s="99"/>
      <c r="D8" s="98">
        <f>Solutions!Y47</f>
        <v>5.3156383270917047</v>
      </c>
      <c r="E8" s="85"/>
      <c r="F8" s="85"/>
      <c r="G8" s="117" t="s">
        <v>70</v>
      </c>
      <c r="I8" s="85"/>
      <c r="J8" s="85"/>
      <c r="K8" s="85"/>
      <c r="L8" s="85"/>
      <c r="M8" s="86"/>
      <c r="N8" s="86"/>
      <c r="O8" s="86"/>
      <c r="P8" s="86"/>
      <c r="Q8" s="86"/>
      <c r="R8" s="86"/>
      <c r="S8" s="87"/>
      <c r="T8" s="87"/>
      <c r="U8" s="87"/>
      <c r="V8" s="87"/>
    </row>
    <row r="9" spans="1:25" x14ac:dyDescent="0.2">
      <c r="A9" s="83"/>
      <c r="B9" s="84"/>
      <c r="C9" s="85"/>
      <c r="D9" s="85"/>
      <c r="E9" s="34"/>
      <c r="F9" s="85"/>
      <c r="G9" s="85"/>
      <c r="H9" s="85"/>
      <c r="I9" s="85"/>
      <c r="J9" s="85"/>
      <c r="K9" s="85"/>
      <c r="L9" s="85"/>
      <c r="M9" s="86"/>
      <c r="N9" s="86"/>
      <c r="O9" s="86"/>
      <c r="P9" s="86"/>
      <c r="Q9" s="86"/>
      <c r="R9" s="86"/>
      <c r="S9" s="87"/>
      <c r="T9" s="87"/>
      <c r="U9" s="87"/>
      <c r="V9" s="87"/>
    </row>
    <row r="10" spans="1:25" x14ac:dyDescent="0.2">
      <c r="A10" s="83"/>
      <c r="B10" s="88"/>
      <c r="C10" s="85"/>
      <c r="D10" s="85"/>
      <c r="E10" s="85"/>
      <c r="F10" s="34"/>
      <c r="G10" s="85"/>
      <c r="H10" s="85"/>
      <c r="I10" s="85"/>
      <c r="J10" s="85"/>
      <c r="K10" s="85"/>
      <c r="L10" s="85"/>
      <c r="M10" s="86"/>
      <c r="N10" s="86"/>
      <c r="O10" s="86"/>
      <c r="P10" s="86"/>
      <c r="Q10" s="86"/>
      <c r="R10" s="86"/>
      <c r="S10" s="87"/>
      <c r="T10" s="87"/>
      <c r="U10" s="87"/>
      <c r="V10" s="87"/>
    </row>
    <row r="11" spans="1:25" x14ac:dyDescent="0.2">
      <c r="A11" s="83"/>
      <c r="B11" s="88"/>
      <c r="C11" s="85"/>
      <c r="D11" s="85"/>
      <c r="E11" s="85"/>
      <c r="F11" s="85"/>
      <c r="G11" s="34"/>
      <c r="H11" s="85"/>
      <c r="I11" s="85"/>
      <c r="J11" s="85"/>
      <c r="K11" s="85"/>
      <c r="L11" s="85"/>
      <c r="M11" s="86"/>
      <c r="N11" s="86"/>
      <c r="O11" s="86"/>
      <c r="P11" s="86"/>
      <c r="Q11" s="86"/>
      <c r="R11" s="86"/>
      <c r="S11" s="87"/>
      <c r="T11" s="87"/>
      <c r="U11" s="87"/>
      <c r="V11" s="87"/>
    </row>
    <row r="12" spans="1:25" x14ac:dyDescent="0.2">
      <c r="A12" s="83"/>
      <c r="B12" s="116"/>
      <c r="C12" s="85"/>
      <c r="D12" s="85"/>
      <c r="E12" s="85"/>
      <c r="F12" s="85"/>
      <c r="G12" s="85"/>
      <c r="H12" s="34"/>
      <c r="I12" s="85"/>
      <c r="J12" s="85"/>
      <c r="K12" s="85"/>
      <c r="L12" s="85"/>
      <c r="M12" s="86"/>
      <c r="N12" s="86"/>
      <c r="O12" s="86"/>
      <c r="P12" s="86"/>
      <c r="Q12" s="86"/>
      <c r="R12" s="86"/>
      <c r="S12" s="87"/>
      <c r="T12" s="87"/>
      <c r="U12" s="87"/>
      <c r="V12" s="87"/>
    </row>
    <row r="13" spans="1:25" x14ac:dyDescent="0.2">
      <c r="A13" s="83"/>
      <c r="B13" s="88"/>
      <c r="C13" s="112" t="s">
        <v>66</v>
      </c>
      <c r="D13" s="85"/>
      <c r="E13" s="85"/>
      <c r="F13" s="85"/>
      <c r="G13" s="85"/>
      <c r="H13" s="85"/>
      <c r="I13" s="34"/>
      <c r="J13" s="85"/>
      <c r="K13" s="85"/>
      <c r="L13" s="85"/>
      <c r="M13" s="86"/>
      <c r="N13" s="86"/>
      <c r="O13" s="86"/>
      <c r="P13" s="86"/>
      <c r="Q13" s="86"/>
      <c r="R13" s="86"/>
      <c r="S13" s="87"/>
      <c r="T13" s="87"/>
      <c r="U13" s="87"/>
      <c r="V13" s="87"/>
    </row>
    <row r="14" spans="1:25" x14ac:dyDescent="0.2">
      <c r="A14" s="83"/>
      <c r="B14" s="88"/>
      <c r="C14" s="117" t="s">
        <v>70</v>
      </c>
      <c r="D14" s="85"/>
      <c r="E14" s="85"/>
      <c r="F14" s="85"/>
      <c r="G14" s="85"/>
      <c r="H14" s="85"/>
      <c r="I14" s="85"/>
      <c r="J14" s="34"/>
      <c r="K14" s="85"/>
      <c r="L14" s="85"/>
      <c r="M14" s="86"/>
      <c r="N14" s="86"/>
      <c r="O14" s="86"/>
      <c r="P14" s="86"/>
      <c r="Q14" s="86"/>
      <c r="R14" s="86"/>
      <c r="S14" s="87"/>
      <c r="T14" s="87"/>
      <c r="U14" s="87"/>
      <c r="V14" s="87"/>
    </row>
    <row r="15" spans="1:25" x14ac:dyDescent="0.2">
      <c r="A15" s="83"/>
      <c r="B15" s="88"/>
      <c r="D15" s="85"/>
      <c r="E15" s="85"/>
      <c r="F15" s="85"/>
      <c r="G15" s="85"/>
      <c r="H15" s="85"/>
      <c r="I15" s="85"/>
      <c r="J15" s="85"/>
      <c r="K15" s="34"/>
      <c r="L15" s="85"/>
      <c r="M15" s="86"/>
      <c r="N15" s="86"/>
      <c r="O15" s="86"/>
      <c r="P15" s="86"/>
      <c r="Q15" s="86"/>
      <c r="R15" s="86"/>
      <c r="S15" s="87"/>
      <c r="T15" s="87"/>
      <c r="U15" s="87"/>
      <c r="V15" s="87"/>
    </row>
    <row r="16" spans="1:25" ht="15" x14ac:dyDescent="0.25">
      <c r="A16" s="83"/>
      <c r="B16" s="88"/>
      <c r="D16" s="85"/>
      <c r="E16" s="85"/>
      <c r="F16" s="85"/>
      <c r="G16" s="85"/>
      <c r="H16" s="85"/>
      <c r="I16" s="85"/>
      <c r="J16" s="85"/>
      <c r="K16" s="85"/>
      <c r="L16" s="34"/>
      <c r="M16" s="86"/>
      <c r="N16" s="86"/>
      <c r="O16" s="86"/>
      <c r="P16" s="86"/>
      <c r="Q16" s="86"/>
      <c r="R16" s="86"/>
      <c r="S16" s="87"/>
      <c r="T16" s="87"/>
      <c r="U16" s="87"/>
      <c r="V16" s="87"/>
      <c r="Y16" s="33"/>
    </row>
    <row r="17" spans="1:30" ht="15" x14ac:dyDescent="0.25">
      <c r="A17" s="83"/>
      <c r="B17" s="89"/>
      <c r="C17" s="86"/>
      <c r="D17" s="113" t="s">
        <v>67</v>
      </c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7"/>
      <c r="T17" s="87"/>
      <c r="U17" s="87"/>
      <c r="V17" s="87"/>
      <c r="Y17" s="33"/>
    </row>
    <row r="18" spans="1:30" x14ac:dyDescent="0.2">
      <c r="A18" s="83"/>
      <c r="B18" s="89"/>
      <c r="C18" s="86"/>
      <c r="D18" s="117" t="s">
        <v>70</v>
      </c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7"/>
      <c r="T18" s="87"/>
      <c r="U18" s="87"/>
      <c r="V18" s="87"/>
    </row>
    <row r="19" spans="1:30" x14ac:dyDescent="0.2">
      <c r="A19" s="83"/>
      <c r="B19" s="89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7"/>
      <c r="U19" s="87"/>
      <c r="V19" s="87"/>
    </row>
    <row r="20" spans="1:30" x14ac:dyDescent="0.2">
      <c r="A20" s="83"/>
      <c r="B20" s="89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7"/>
      <c r="T20" s="87"/>
      <c r="U20" s="87"/>
      <c r="V20" s="87"/>
    </row>
    <row r="21" spans="1:30" x14ac:dyDescent="0.2">
      <c r="A21" s="83"/>
      <c r="B21" s="116" t="s">
        <v>71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7"/>
      <c r="T21" s="87"/>
      <c r="U21" s="87"/>
      <c r="V21" s="87"/>
    </row>
    <row r="22" spans="1:30" x14ac:dyDescent="0.2">
      <c r="A22" s="83"/>
      <c r="B22" s="117" t="s">
        <v>70</v>
      </c>
      <c r="C22" s="115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7"/>
      <c r="S22" s="87"/>
      <c r="T22" s="87"/>
      <c r="U22" s="87"/>
      <c r="V22" s="87"/>
    </row>
    <row r="23" spans="1:30" x14ac:dyDescent="0.2">
      <c r="A23" s="83"/>
      <c r="B23" s="89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7"/>
      <c r="T23" s="87"/>
      <c r="U23" s="87"/>
      <c r="V23" s="87"/>
    </row>
    <row r="24" spans="1:30" x14ac:dyDescent="0.2">
      <c r="A24" s="83"/>
      <c r="B24" s="89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7"/>
      <c r="U24" s="87"/>
      <c r="V24" s="87"/>
    </row>
    <row r="25" spans="1:30" x14ac:dyDescent="0.2">
      <c r="A25" s="83"/>
      <c r="B25" s="89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7"/>
      <c r="V25" s="87"/>
    </row>
    <row r="26" spans="1:30" ht="15" x14ac:dyDescent="0.25">
      <c r="A26" s="83"/>
      <c r="B26" s="89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7"/>
      <c r="Y26" s="33"/>
    </row>
    <row r="27" spans="1:30" ht="1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Y27" s="33"/>
    </row>
    <row r="29" spans="1:30" ht="18" x14ac:dyDescent="0.25">
      <c r="B29" s="33"/>
      <c r="C29" s="32"/>
      <c r="K29" s="33"/>
    </row>
    <row r="30" spans="1:30" x14ac:dyDescent="0.2"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</row>
    <row r="31" spans="1:30" x14ac:dyDescent="0.2">
      <c r="G31" s="49"/>
      <c r="H31" s="49"/>
      <c r="I31" s="49"/>
      <c r="J31" s="49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</row>
    <row r="32" spans="1:30" x14ac:dyDescent="0.2">
      <c r="G32" s="37"/>
      <c r="H32" s="37"/>
      <c r="I32" s="37"/>
      <c r="J32" s="37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</row>
    <row r="33" spans="2:30" x14ac:dyDescent="0.2">
      <c r="G33" s="37"/>
      <c r="H33" s="37"/>
      <c r="I33" s="37"/>
      <c r="J33" s="37"/>
      <c r="K33" s="30"/>
      <c r="L33" s="30"/>
      <c r="M33" s="49"/>
      <c r="N33" s="37"/>
      <c r="O33" s="37"/>
      <c r="P33" s="37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</row>
    <row r="34" spans="2:30" ht="15" x14ac:dyDescent="0.25">
      <c r="B34" s="33"/>
      <c r="G34" s="37"/>
      <c r="H34" s="37"/>
      <c r="I34" s="37"/>
      <c r="J34" s="37"/>
      <c r="K34" s="30"/>
      <c r="L34" s="30"/>
      <c r="M34" s="49"/>
      <c r="N34" s="37"/>
      <c r="O34" s="30"/>
      <c r="P34" s="30"/>
      <c r="Q34" s="30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30"/>
      <c r="AD34" s="30"/>
    </row>
    <row r="35" spans="2:30" x14ac:dyDescent="0.2">
      <c r="G35" s="30"/>
      <c r="H35" s="30"/>
      <c r="I35" s="30"/>
      <c r="J35" s="30"/>
      <c r="K35" s="30"/>
      <c r="L35" s="30"/>
      <c r="M35" s="49"/>
      <c r="N35" s="37"/>
      <c r="O35" s="37"/>
      <c r="P35" s="30"/>
      <c r="Q35" s="30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0"/>
      <c r="AD35" s="30"/>
    </row>
    <row r="36" spans="2:30" x14ac:dyDescent="0.2">
      <c r="G36" s="30"/>
      <c r="H36" s="30"/>
      <c r="I36" s="30"/>
      <c r="J36" s="30"/>
      <c r="K36" s="30"/>
      <c r="L36" s="30"/>
      <c r="M36" s="49"/>
      <c r="N36" s="37"/>
      <c r="O36" s="37"/>
      <c r="P36" s="37"/>
      <c r="Q36" s="30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0"/>
      <c r="AD36" s="30"/>
    </row>
    <row r="37" spans="2:30" x14ac:dyDescent="0.2"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0"/>
      <c r="AD37" s="30"/>
    </row>
    <row r="38" spans="2:30" x14ac:dyDescent="0.2"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0"/>
      <c r="AD38" s="30"/>
    </row>
    <row r="39" spans="2:30" x14ac:dyDescent="0.2"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0"/>
      <c r="AD39" s="30"/>
    </row>
    <row r="40" spans="2:30" x14ac:dyDescent="0.2"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0"/>
      <c r="AD40" s="30"/>
    </row>
    <row r="41" spans="2:30" x14ac:dyDescent="0.2"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0"/>
      <c r="AD41" s="30"/>
    </row>
    <row r="42" spans="2:30" x14ac:dyDescent="0.2"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0"/>
      <c r="AD42" s="30"/>
    </row>
    <row r="43" spans="2:30" x14ac:dyDescent="0.2"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0"/>
      <c r="AD43" s="30"/>
    </row>
    <row r="44" spans="2:30" x14ac:dyDescent="0.2"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0"/>
      <c r="AD44" s="30"/>
    </row>
    <row r="45" spans="2:30" x14ac:dyDescent="0.2"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</row>
    <row r="46" spans="2:30" x14ac:dyDescent="0.2"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</row>
    <row r="47" spans="2:30" x14ac:dyDescent="0.2"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</row>
    <row r="180" spans="10:10" x14ac:dyDescent="0.2">
      <c r="J180" s="1"/>
    </row>
  </sheetData>
  <mergeCells count="1">
    <mergeCell ref="A5:B5"/>
  </mergeCells>
  <phoneticPr fontId="0" type="noConversion"/>
  <printOptions gridLinesSet="0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portfSD">
                <anchor moveWithCells="1" sizeWithCells="1">
                  <from>
                    <xdr:col>0</xdr:col>
                    <xdr:colOff>209550</xdr:colOff>
                    <xdr:row>1</xdr:row>
                    <xdr:rowOff>152400</xdr:rowOff>
                  </from>
                  <to>
                    <xdr:col>1</xdr:col>
                    <xdr:colOff>400050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4004"/>
  <sheetViews>
    <sheetView showRowColHeaders="0" workbookViewId="0">
      <selection activeCell="L12" sqref="L12"/>
    </sheetView>
  </sheetViews>
  <sheetFormatPr defaultColWidth="9.140625" defaultRowHeight="12.75" x14ac:dyDescent="0.2"/>
  <cols>
    <col min="1" max="2" width="9.140625" style="9"/>
    <col min="3" max="3" width="8.7109375" style="27" customWidth="1"/>
    <col min="4" max="4" width="11.42578125" style="9" customWidth="1"/>
    <col min="5" max="5" width="10.28515625" style="9" customWidth="1"/>
    <col min="6" max="6" width="9.140625" style="9"/>
    <col min="7" max="7" width="10.85546875" style="9" customWidth="1"/>
    <col min="8" max="8" width="11.140625" style="9" customWidth="1"/>
    <col min="9" max="9" width="11.7109375" style="9" customWidth="1"/>
    <col min="10" max="16384" width="9.140625" style="9"/>
  </cols>
  <sheetData>
    <row r="1" spans="1:9" x14ac:dyDescent="0.2">
      <c r="A1" s="10"/>
      <c r="B1" s="10"/>
      <c r="C1" s="28"/>
      <c r="D1" s="10"/>
      <c r="E1" s="10"/>
      <c r="F1" s="10"/>
      <c r="G1" s="10"/>
      <c r="H1" s="10"/>
      <c r="I1" s="10"/>
    </row>
    <row r="2" spans="1:9" x14ac:dyDescent="0.2">
      <c r="A2" s="46"/>
      <c r="B2" s="46"/>
      <c r="C2" s="47"/>
      <c r="D2" s="121" t="s">
        <v>20</v>
      </c>
      <c r="E2" s="122"/>
      <c r="F2" s="123"/>
      <c r="G2" s="46"/>
      <c r="H2" s="46"/>
      <c r="I2" s="46"/>
    </row>
    <row r="3" spans="1:9" x14ac:dyDescent="0.2">
      <c r="A3" s="44" t="s">
        <v>16</v>
      </c>
      <c r="B3" s="44" t="s">
        <v>19</v>
      </c>
      <c r="C3" s="31" t="s">
        <v>3</v>
      </c>
      <c r="D3" s="31" t="s">
        <v>4</v>
      </c>
      <c r="E3" s="31" t="s">
        <v>2</v>
      </c>
      <c r="F3" s="31" t="s">
        <v>5</v>
      </c>
      <c r="G3" s="17"/>
      <c r="H3" s="18" t="s">
        <v>6</v>
      </c>
      <c r="I3" s="19"/>
    </row>
    <row r="4" spans="1:9" x14ac:dyDescent="0.2">
      <c r="A4" s="16"/>
      <c r="B4" s="16"/>
      <c r="C4" s="38">
        <v>1000</v>
      </c>
      <c r="D4" s="43">
        <v>0.14246960289104596</v>
      </c>
      <c r="E4" s="43">
        <v>0.52472420950448062</v>
      </c>
      <c r="F4" s="43">
        <v>2.9811566776049316</v>
      </c>
      <c r="G4" s="31" t="s">
        <v>5</v>
      </c>
      <c r="H4" s="31" t="s">
        <v>2</v>
      </c>
      <c r="I4" s="31" t="s">
        <v>4</v>
      </c>
    </row>
    <row r="5" spans="1:9" x14ac:dyDescent="0.2">
      <c r="A5" s="42">
        <v>1</v>
      </c>
      <c r="B5" s="41">
        <v>0.56381694393311932</v>
      </c>
      <c r="C5" s="22"/>
      <c r="G5" s="23">
        <v>3.0087580013285469</v>
      </c>
      <c r="H5" s="24">
        <v>0.5286432696452783</v>
      </c>
      <c r="I5" s="25">
        <v>0.14246518595576332</v>
      </c>
    </row>
    <row r="6" spans="1:9" x14ac:dyDescent="0.2">
      <c r="A6" s="42">
        <v>2</v>
      </c>
      <c r="B6" s="41">
        <v>0.43618305606688068</v>
      </c>
      <c r="C6" s="22"/>
      <c r="G6" s="23">
        <v>3.508268739570275</v>
      </c>
      <c r="H6" s="24">
        <v>0.59622897240321859</v>
      </c>
      <c r="I6" s="25">
        <v>0.14144554130533488</v>
      </c>
    </row>
    <row r="7" spans="1:9" x14ac:dyDescent="0.2">
      <c r="A7" s="42" t="s">
        <v>7</v>
      </c>
      <c r="B7" s="41">
        <v>1</v>
      </c>
      <c r="C7" s="22"/>
      <c r="G7" s="23">
        <v>1.9721127356715378</v>
      </c>
      <c r="H7" s="24">
        <v>0.3280003908495292</v>
      </c>
      <c r="I7" s="25">
        <v>0.11561224935843999</v>
      </c>
    </row>
    <row r="8" spans="1:9" x14ac:dyDescent="0.2">
      <c r="A8" s="42"/>
      <c r="B8" s="41"/>
      <c r="C8" s="22"/>
      <c r="G8" s="23">
        <v>2.2432785519440217</v>
      </c>
      <c r="H8" s="24">
        <v>0.14587406176934897</v>
      </c>
      <c r="I8" s="25">
        <v>2.0449560416595819E-2</v>
      </c>
    </row>
    <row r="9" spans="1:9" x14ac:dyDescent="0.2">
      <c r="A9" s="42"/>
      <c r="B9" s="41"/>
      <c r="C9" s="22"/>
      <c r="G9" s="23">
        <v>2.8412855514794617</v>
      </c>
      <c r="H9" s="24">
        <v>0.50444680071849013</v>
      </c>
      <c r="I9" s="25">
        <v>0.14234641041896615</v>
      </c>
    </row>
    <row r="10" spans="1:9" x14ac:dyDescent="0.2">
      <c r="A10" s="42"/>
      <c r="B10" s="41"/>
      <c r="C10" s="22"/>
      <c r="G10" s="23">
        <v>2.022485535244281</v>
      </c>
      <c r="H10" s="24">
        <v>0.20184976617859765</v>
      </c>
      <c r="I10" s="25">
        <v>5.0358711058064429E-2</v>
      </c>
    </row>
    <row r="11" spans="1:9" x14ac:dyDescent="0.2">
      <c r="A11" s="42"/>
      <c r="B11" s="41"/>
      <c r="C11" s="22"/>
      <c r="G11" s="23">
        <v>2.7817241389484133</v>
      </c>
      <c r="H11" s="24">
        <v>0.49556884723061628</v>
      </c>
      <c r="I11" s="25">
        <v>0.14220275842666366</v>
      </c>
    </row>
    <row r="12" spans="1:9" x14ac:dyDescent="0.2">
      <c r="A12" s="42"/>
      <c r="B12" s="41"/>
      <c r="C12" s="22"/>
      <c r="G12" s="23">
        <v>1.9709491215101624</v>
      </c>
      <c r="H12" s="24">
        <v>0.32748553881826814</v>
      </c>
      <c r="I12" s="25">
        <v>0.11541928446831248</v>
      </c>
    </row>
    <row r="13" spans="1:9" x14ac:dyDescent="0.2">
      <c r="A13" s="42"/>
      <c r="B13" s="41"/>
      <c r="C13" s="22"/>
      <c r="G13" s="23">
        <v>5.0483028099204121</v>
      </c>
      <c r="H13" s="24">
        <v>0.78544559267457348</v>
      </c>
      <c r="I13" s="25">
        <v>0.13577743193959943</v>
      </c>
    </row>
    <row r="14" spans="1:9" x14ac:dyDescent="0.2">
      <c r="A14" s="42"/>
      <c r="B14" s="41"/>
      <c r="C14" s="22"/>
      <c r="G14" s="23">
        <v>3.8117140896414226</v>
      </c>
      <c r="H14" s="24">
        <v>0.63514798898678193</v>
      </c>
      <c r="I14" s="25">
        <v>0.14039562645870129</v>
      </c>
    </row>
    <row r="15" spans="1:9" x14ac:dyDescent="0.2">
      <c r="A15" s="42"/>
      <c r="B15" s="41"/>
      <c r="C15" s="22"/>
      <c r="G15" s="23">
        <v>2.3041828692612079</v>
      </c>
      <c r="H15" s="24">
        <v>0.41533950945042297</v>
      </c>
      <c r="I15" s="25">
        <v>0.13685524363845933</v>
      </c>
    </row>
    <row r="16" spans="1:9" x14ac:dyDescent="0.2">
      <c r="A16" s="42"/>
      <c r="B16" s="41"/>
      <c r="C16" s="22"/>
      <c r="G16" s="23">
        <v>2.0578267977738314</v>
      </c>
      <c r="H16" s="24">
        <v>0.19081469687761651</v>
      </c>
      <c r="I16" s="25">
        <v>4.4131360076438038E-2</v>
      </c>
    </row>
    <row r="17" spans="1:9" x14ac:dyDescent="0.2">
      <c r="A17" s="42"/>
      <c r="B17" s="41"/>
      <c r="C17" s="22"/>
      <c r="G17" s="23">
        <v>3.2178136994037185</v>
      </c>
      <c r="H17" s="24">
        <v>0.55761094638093911</v>
      </c>
      <c r="I17" s="25">
        <v>0.14221175855383461</v>
      </c>
    </row>
    <row r="18" spans="1:9" x14ac:dyDescent="0.2">
      <c r="A18" s="42"/>
      <c r="B18" s="41"/>
      <c r="C18" s="22"/>
      <c r="G18" s="23">
        <v>2.6390308682130028</v>
      </c>
      <c r="H18" s="24">
        <v>0.47355739512545891</v>
      </c>
      <c r="I18" s="25">
        <v>0.14155097544891318</v>
      </c>
    </row>
    <row r="19" spans="1:9" x14ac:dyDescent="0.2">
      <c r="A19" s="42"/>
      <c r="B19" s="41"/>
      <c r="C19" s="22"/>
      <c r="G19" s="23">
        <v>2.6197210465462084</v>
      </c>
      <c r="H19" s="24">
        <v>0.4704842842417849</v>
      </c>
      <c r="I19" s="25">
        <v>0.14142127202440441</v>
      </c>
    </row>
    <row r="20" spans="1:9" x14ac:dyDescent="0.2">
      <c r="A20" s="42"/>
      <c r="B20" s="41"/>
      <c r="C20" s="22"/>
      <c r="G20" s="23">
        <v>2.6897357107827036</v>
      </c>
      <c r="H20" s="24">
        <v>0.48151235489812733</v>
      </c>
      <c r="I20" s="25">
        <v>0.14184008929895661</v>
      </c>
    </row>
    <row r="21" spans="1:9" x14ac:dyDescent="0.2">
      <c r="A21" s="39"/>
      <c r="B21" s="40"/>
      <c r="C21" s="22"/>
      <c r="G21" s="23">
        <v>2.1963092896920893</v>
      </c>
      <c r="H21" s="24">
        <v>0.39295780247149226</v>
      </c>
      <c r="I21" s="25">
        <v>0.13338640525553996</v>
      </c>
    </row>
    <row r="22" spans="1:9" x14ac:dyDescent="0.2">
      <c r="A22" s="39"/>
      <c r="B22" s="40"/>
      <c r="C22" s="22"/>
      <c r="G22" s="23">
        <v>4.2459760086129226</v>
      </c>
      <c r="H22" s="24">
        <v>0.68911341964365558</v>
      </c>
      <c r="I22" s="25">
        <v>0.13874628988918647</v>
      </c>
    </row>
    <row r="23" spans="1:9" x14ac:dyDescent="0.2">
      <c r="A23" s="20"/>
      <c r="B23" s="21"/>
      <c r="C23" s="22"/>
      <c r="G23" s="23">
        <v>2.3355632892336615</v>
      </c>
      <c r="H23" s="24">
        <v>0.42138872811663508</v>
      </c>
      <c r="I23" s="25">
        <v>0.13760651578488037</v>
      </c>
    </row>
    <row r="24" spans="1:9" x14ac:dyDescent="0.2">
      <c r="A24" s="20"/>
      <c r="B24" s="21"/>
      <c r="C24" s="22"/>
      <c r="G24" s="23">
        <v>2.0346520102989425</v>
      </c>
      <c r="H24" s="24">
        <v>0.35103017382543011</v>
      </c>
      <c r="I24" s="25">
        <v>0.12337744787052368</v>
      </c>
    </row>
    <row r="25" spans="1:9" x14ac:dyDescent="0.2">
      <c r="A25" s="20"/>
      <c r="B25" s="21"/>
      <c r="C25" s="22"/>
      <c r="G25" s="23">
        <v>2.0278177760706835</v>
      </c>
      <c r="H25" s="24">
        <v>0.20009272940117787</v>
      </c>
      <c r="I25" s="25">
        <v>4.9359823694322333E-2</v>
      </c>
    </row>
    <row r="26" spans="1:9" x14ac:dyDescent="0.2">
      <c r="A26" s="20"/>
      <c r="B26" s="21"/>
      <c r="C26" s="22"/>
      <c r="G26" s="23">
        <v>5.2719431554937408</v>
      </c>
      <c r="H26" s="24">
        <v>0.81177258204381497</v>
      </c>
      <c r="I26" s="25">
        <v>0.13501142928902429</v>
      </c>
    </row>
    <row r="27" spans="1:9" x14ac:dyDescent="0.2">
      <c r="A27" s="20"/>
      <c r="B27" s="21"/>
      <c r="C27" s="22"/>
      <c r="G27" s="23">
        <v>4.5386823621193244</v>
      </c>
      <c r="H27" s="24">
        <v>0.72466493865654646</v>
      </c>
      <c r="I27" s="25">
        <v>0.13763134040399005</v>
      </c>
    </row>
    <row r="28" spans="1:9" x14ac:dyDescent="0.2">
      <c r="A28" s="20"/>
      <c r="B28" s="21"/>
      <c r="C28" s="22"/>
      <c r="G28" s="23">
        <v>1.992342333309139</v>
      </c>
      <c r="H28" s="24">
        <v>0.21261199930859906</v>
      </c>
      <c r="I28" s="25">
        <v>5.6522413812009113E-2</v>
      </c>
    </row>
    <row r="29" spans="1:9" x14ac:dyDescent="0.2">
      <c r="A29" s="20"/>
      <c r="B29" s="21"/>
      <c r="C29" s="22"/>
      <c r="G29" s="23">
        <v>4.5957537291998687</v>
      </c>
      <c r="H29" s="24">
        <v>0.73153569299055965</v>
      </c>
      <c r="I29" s="25">
        <v>0.13741721787394282</v>
      </c>
    </row>
    <row r="30" spans="1:9" x14ac:dyDescent="0.2">
      <c r="A30" s="20"/>
      <c r="B30" s="21"/>
      <c r="C30" s="22"/>
      <c r="G30" s="23">
        <v>2.4163462940808973</v>
      </c>
      <c r="H30" s="24">
        <v>0.43625713193515919</v>
      </c>
      <c r="I30" s="25">
        <v>0.13915932963281855</v>
      </c>
    </row>
    <row r="31" spans="1:9" x14ac:dyDescent="0.2">
      <c r="A31" s="20"/>
      <c r="B31" s="21"/>
      <c r="C31" s="22"/>
      <c r="G31" s="23">
        <v>1.9251823328304463</v>
      </c>
      <c r="H31" s="24">
        <v>0.30052556946808462</v>
      </c>
      <c r="I31" s="25">
        <v>0.10415926042867395</v>
      </c>
    </row>
    <row r="32" spans="1:9" x14ac:dyDescent="0.2">
      <c r="A32" s="20"/>
      <c r="B32" s="21"/>
      <c r="C32" s="22"/>
      <c r="G32" s="23">
        <v>3.7379225062557966</v>
      </c>
      <c r="H32" s="24">
        <v>0.6257920550982623</v>
      </c>
      <c r="I32" s="25">
        <v>0.14066424671142305</v>
      </c>
    </row>
    <row r="33" spans="1:9" x14ac:dyDescent="0.2">
      <c r="A33" s="20"/>
      <c r="B33" s="21"/>
      <c r="C33" s="22"/>
      <c r="G33" s="23">
        <v>3.3370014844547913</v>
      </c>
      <c r="H33" s="24">
        <v>0.57365298628687666</v>
      </c>
      <c r="I33" s="25">
        <v>0.14193969855969282</v>
      </c>
    </row>
    <row r="34" spans="1:9" x14ac:dyDescent="0.2">
      <c r="A34" s="20"/>
      <c r="B34" s="21"/>
      <c r="C34" s="22"/>
      <c r="G34" s="23">
        <v>1.910419789717092</v>
      </c>
      <c r="H34" s="24">
        <v>0.27296270471622242</v>
      </c>
      <c r="I34" s="25">
        <v>9.0536490543641088E-2</v>
      </c>
    </row>
    <row r="35" spans="1:9" x14ac:dyDescent="0.2">
      <c r="A35" s="20"/>
      <c r="B35" s="21"/>
      <c r="C35" s="22"/>
      <c r="G35" s="23">
        <v>2.6754372508546624</v>
      </c>
      <c r="H35" s="24">
        <v>0.47928518745510246</v>
      </c>
      <c r="I35" s="25">
        <v>0.14176568179419066</v>
      </c>
    </row>
    <row r="36" spans="1:9" x14ac:dyDescent="0.2">
      <c r="A36" s="20"/>
      <c r="B36" s="21"/>
      <c r="C36" s="22"/>
      <c r="G36" s="23">
        <v>3.6111220747224273</v>
      </c>
      <c r="H36" s="24">
        <v>0.60955896203324011</v>
      </c>
      <c r="I36" s="25">
        <v>0.14110820681194827</v>
      </c>
    </row>
    <row r="37" spans="1:9" x14ac:dyDescent="0.2">
      <c r="A37" s="20"/>
      <c r="B37" s="21"/>
      <c r="C37" s="22"/>
      <c r="G37" s="23">
        <v>3.9790129750039229</v>
      </c>
      <c r="H37" s="24">
        <v>0.65614207581700446</v>
      </c>
      <c r="I37" s="25">
        <v>0.13976885167768019</v>
      </c>
    </row>
    <row r="38" spans="1:9" x14ac:dyDescent="0.2">
      <c r="A38" s="20"/>
      <c r="B38" s="21"/>
      <c r="C38" s="22"/>
      <c r="G38" s="23">
        <v>1.9259047423470288</v>
      </c>
      <c r="H38" s="24">
        <v>0.30115612071508185</v>
      </c>
      <c r="I38" s="25">
        <v>0.10444759535709135</v>
      </c>
    </row>
    <row r="39" spans="1:9" x14ac:dyDescent="0.2">
      <c r="A39" s="20"/>
      <c r="B39" s="21"/>
      <c r="C39" s="22"/>
      <c r="G39" s="23">
        <v>1.9403111387868235</v>
      </c>
      <c r="H39" s="24">
        <v>0.23733205031503782</v>
      </c>
      <c r="I39" s="25">
        <v>7.0778364397159704E-2</v>
      </c>
    </row>
    <row r="40" spans="1:9" x14ac:dyDescent="0.2">
      <c r="A40" s="20"/>
      <c r="B40" s="21"/>
      <c r="C40" s="22"/>
      <c r="G40" s="23">
        <v>4.1073151209551337</v>
      </c>
      <c r="H40" s="24">
        <v>0.6720618128792285</v>
      </c>
      <c r="I40" s="25">
        <v>0.13927877324788329</v>
      </c>
    </row>
    <row r="41" spans="1:9" x14ac:dyDescent="0.2">
      <c r="A41" s="20"/>
      <c r="B41" s="21"/>
      <c r="C41" s="22"/>
      <c r="G41" s="23">
        <v>3.5493518591527873</v>
      </c>
      <c r="H41" s="24">
        <v>0.6015721946719057</v>
      </c>
      <c r="I41" s="25">
        <v>0.14131374208177613</v>
      </c>
    </row>
    <row r="42" spans="1:9" x14ac:dyDescent="0.2">
      <c r="A42" s="20"/>
      <c r="B42" s="21"/>
      <c r="C42" s="22"/>
      <c r="G42" s="23">
        <v>1.924191282930322</v>
      </c>
      <c r="H42" s="24">
        <v>0.29963525673968477</v>
      </c>
      <c r="I42" s="25">
        <v>0.10375021289232073</v>
      </c>
    </row>
    <row r="43" spans="1:9" x14ac:dyDescent="0.2">
      <c r="A43" s="20"/>
      <c r="B43" s="21"/>
      <c r="C43" s="22"/>
      <c r="G43" s="23">
        <v>2.6899883214782889</v>
      </c>
      <c r="H43" s="24">
        <v>0.48155159303575462</v>
      </c>
      <c r="I43" s="25">
        <v>0.14184135614981258</v>
      </c>
    </row>
    <row r="44" spans="1:9" x14ac:dyDescent="0.2">
      <c r="A44" s="20"/>
      <c r="B44" s="21"/>
      <c r="C44" s="22"/>
      <c r="G44" s="23">
        <v>4.3214065833143867</v>
      </c>
      <c r="H44" s="24">
        <v>0.69832909203181714</v>
      </c>
      <c r="I44" s="25">
        <v>0.13845702296375939</v>
      </c>
    </row>
    <row r="45" spans="1:9" x14ac:dyDescent="0.2">
      <c r="A45" s="20"/>
      <c r="B45" s="21"/>
      <c r="C45" s="22"/>
      <c r="G45" s="23">
        <v>2.457626563001662</v>
      </c>
      <c r="H45" s="24">
        <v>0.44352860983257947</v>
      </c>
      <c r="I45" s="25">
        <v>0.13978063775600191</v>
      </c>
    </row>
    <row r="46" spans="1:9" x14ac:dyDescent="0.2">
      <c r="A46" s="20"/>
      <c r="B46" s="21"/>
      <c r="C46" s="22"/>
      <c r="G46" s="23">
        <v>2.7851521509777291</v>
      </c>
      <c r="H46" s="24">
        <v>0.49608426530775146</v>
      </c>
      <c r="I46" s="25">
        <v>0.14221279210135424</v>
      </c>
    </row>
    <row r="47" spans="1:9" x14ac:dyDescent="0.2">
      <c r="A47" s="20"/>
      <c r="B47" s="21"/>
      <c r="C47" s="22"/>
      <c r="G47" s="23">
        <v>2.1736606612510445</v>
      </c>
      <c r="H47" s="24">
        <v>0.16106928793689906</v>
      </c>
      <c r="I47" s="25">
        <v>2.8095133493208035E-2</v>
      </c>
    </row>
    <row r="48" spans="1:9" x14ac:dyDescent="0.2">
      <c r="A48" s="20"/>
      <c r="B48" s="21"/>
      <c r="C48" s="22"/>
      <c r="G48" s="23">
        <v>3.5811238025799108</v>
      </c>
      <c r="H48" s="24">
        <v>0.60568709352673777</v>
      </c>
      <c r="I48" s="25">
        <v>0.1412090505422669</v>
      </c>
    </row>
    <row r="49" spans="1:9" x14ac:dyDescent="0.2">
      <c r="A49" s="20"/>
      <c r="B49" s="21"/>
      <c r="C49" s="22"/>
      <c r="G49" s="23">
        <v>3.0327279487972554</v>
      </c>
      <c r="H49" s="24">
        <v>0.53202703343847768</v>
      </c>
      <c r="I49" s="25">
        <v>0.14245492482096803</v>
      </c>
    </row>
    <row r="50" spans="1:9" x14ac:dyDescent="0.2">
      <c r="A50" s="20"/>
      <c r="B50" s="21"/>
      <c r="C50" s="22"/>
      <c r="G50" s="23">
        <v>2.8009997027267888</v>
      </c>
      <c r="H50" s="24">
        <v>0.49845975987055835</v>
      </c>
      <c r="I50" s="25">
        <v>0.14225626585841455</v>
      </c>
    </row>
    <row r="51" spans="1:9" x14ac:dyDescent="0.2">
      <c r="A51" s="20"/>
      <c r="B51" s="21"/>
      <c r="C51" s="22"/>
      <c r="G51" s="23">
        <v>2.5364018865491316</v>
      </c>
      <c r="H51" s="24">
        <v>0.45691119495578469</v>
      </c>
      <c r="I51" s="25">
        <v>0.14071555275148429</v>
      </c>
    </row>
    <row r="52" spans="1:9" x14ac:dyDescent="0.2">
      <c r="A52" s="20"/>
      <c r="B52" s="21"/>
      <c r="C52" s="22"/>
      <c r="G52" s="23">
        <v>4.4083057188050585</v>
      </c>
      <c r="H52" s="24">
        <v>0.70889772848339094</v>
      </c>
      <c r="I52" s="25">
        <v>0.13812511332774041</v>
      </c>
    </row>
    <row r="53" spans="1:9" x14ac:dyDescent="0.2">
      <c r="A53" s="20"/>
      <c r="B53" s="21"/>
      <c r="C53" s="22"/>
      <c r="G53" s="23">
        <v>1.9105331158571019</v>
      </c>
      <c r="H53" s="24">
        <v>0.27173684852756375</v>
      </c>
      <c r="I53" s="25">
        <v>8.9889489803689257E-2</v>
      </c>
    </row>
    <row r="54" spans="1:9" x14ac:dyDescent="0.2">
      <c r="A54" s="20"/>
      <c r="B54" s="21"/>
      <c r="C54" s="22"/>
      <c r="G54" s="23">
        <v>1.9589796952641654</v>
      </c>
      <c r="H54" s="24">
        <v>0.22703749795864994</v>
      </c>
      <c r="I54" s="25">
        <v>6.4848807149786719E-2</v>
      </c>
    </row>
    <row r="55" spans="1:9" x14ac:dyDescent="0.2">
      <c r="A55" s="20"/>
      <c r="B55" s="21"/>
      <c r="C55" s="22"/>
      <c r="G55" s="23">
        <v>2.3801498850101259</v>
      </c>
      <c r="H55" s="24">
        <v>0.42970901893075492</v>
      </c>
      <c r="I55" s="25">
        <v>0.13852447676388083</v>
      </c>
    </row>
    <row r="56" spans="1:9" x14ac:dyDescent="0.2">
      <c r="A56" s="20"/>
      <c r="B56" s="21"/>
      <c r="C56" s="22"/>
      <c r="G56" s="23">
        <v>1.9304246894539465</v>
      </c>
      <c r="H56" s="24">
        <v>0.30480997917400865</v>
      </c>
      <c r="I56" s="25">
        <v>0.10609581342529685</v>
      </c>
    </row>
    <row r="57" spans="1:9" x14ac:dyDescent="0.2">
      <c r="A57" s="20"/>
      <c r="B57" s="21"/>
      <c r="C57" s="22"/>
      <c r="G57" s="23">
        <v>1.9886870813054971</v>
      </c>
      <c r="H57" s="24">
        <v>0.33488835442029585</v>
      </c>
      <c r="I57" s="25">
        <v>0.11811227373991111</v>
      </c>
    </row>
    <row r="58" spans="1:9" x14ac:dyDescent="0.2">
      <c r="A58" s="20"/>
      <c r="B58" s="21"/>
      <c r="C58" s="22"/>
      <c r="G58" s="23">
        <v>4.1080900059657592</v>
      </c>
      <c r="H58" s="24">
        <v>0.67215752829564979</v>
      </c>
      <c r="I58" s="25">
        <v>0.13927580115689961</v>
      </c>
    </row>
    <row r="59" spans="1:9" x14ac:dyDescent="0.2">
      <c r="A59" s="20"/>
      <c r="B59" s="21"/>
      <c r="C59" s="22"/>
      <c r="G59" s="23">
        <v>3.1063425079375824</v>
      </c>
      <c r="H59" s="24">
        <v>0.5423121130905354</v>
      </c>
      <c r="I59" s="25">
        <v>0.14239000061010237</v>
      </c>
    </row>
    <row r="60" spans="1:9" x14ac:dyDescent="0.2">
      <c r="A60" s="20"/>
      <c r="B60" s="21"/>
      <c r="C60" s="22"/>
      <c r="G60" s="23">
        <v>2.9843776975253138</v>
      </c>
      <c r="H60" s="24">
        <v>0.52518284073046784</v>
      </c>
      <c r="I60" s="25">
        <v>0.14246951369222435</v>
      </c>
    </row>
    <row r="61" spans="1:9" x14ac:dyDescent="0.2">
      <c r="A61" s="20"/>
      <c r="B61" s="21"/>
      <c r="C61" s="22"/>
      <c r="G61" s="23">
        <v>1.9814713651123308</v>
      </c>
      <c r="H61" s="24">
        <v>0.21693930301366096</v>
      </c>
      <c r="I61" s="25">
        <v>5.9016397401693205E-2</v>
      </c>
    </row>
    <row r="62" spans="1:9" x14ac:dyDescent="0.2">
      <c r="A62" s="20"/>
      <c r="B62" s="21"/>
      <c r="C62" s="22"/>
      <c r="G62" s="23">
        <v>2.2115520335928385</v>
      </c>
      <c r="H62" s="24">
        <v>0.39630066356682675</v>
      </c>
      <c r="I62" s="25">
        <v>0.1339786075914059</v>
      </c>
    </row>
    <row r="63" spans="1:9" x14ac:dyDescent="0.2">
      <c r="A63" s="20"/>
      <c r="B63" s="21"/>
      <c r="C63" s="22"/>
      <c r="G63" s="23">
        <v>2.3437264766876278</v>
      </c>
      <c r="H63" s="24">
        <v>0.42293495494135391</v>
      </c>
      <c r="I63" s="25">
        <v>0.13778696305365781</v>
      </c>
    </row>
    <row r="64" spans="1:9" x14ac:dyDescent="0.2">
      <c r="A64" s="20"/>
      <c r="B64" s="21"/>
      <c r="C64" s="22"/>
      <c r="G64" s="23">
        <v>2.0601007659746116</v>
      </c>
      <c r="H64" s="24">
        <v>0.19014804366190924</v>
      </c>
      <c r="I64" s="25">
        <v>4.375904502377341E-2</v>
      </c>
    </row>
    <row r="65" spans="1:9" x14ac:dyDescent="0.2">
      <c r="A65" s="20"/>
      <c r="B65" s="21"/>
      <c r="C65" s="22"/>
      <c r="G65" s="23">
        <v>2.3255534964155746</v>
      </c>
      <c r="H65" s="24">
        <v>0.41947772529616906</v>
      </c>
      <c r="I65" s="25">
        <v>0.13737706928628854</v>
      </c>
    </row>
    <row r="66" spans="1:9" x14ac:dyDescent="0.2">
      <c r="A66" s="20"/>
      <c r="B66" s="21"/>
      <c r="C66" s="22"/>
      <c r="G66" s="23">
        <v>3.8022836186763485</v>
      </c>
      <c r="H66" s="24">
        <v>0.63395578861338853</v>
      </c>
      <c r="I66" s="25">
        <v>0.14043028891915044</v>
      </c>
    </row>
    <row r="67" spans="1:9" x14ac:dyDescent="0.2">
      <c r="A67" s="20"/>
      <c r="B67" s="21"/>
      <c r="C67" s="22"/>
      <c r="G67" s="23">
        <v>2.3039715615536007</v>
      </c>
      <c r="H67" s="24">
        <v>0.13362520740702463</v>
      </c>
      <c r="I67" s="25">
        <v>1.4594453541880768E-2</v>
      </c>
    </row>
    <row r="68" spans="1:9" x14ac:dyDescent="0.2">
      <c r="A68" s="20"/>
      <c r="B68" s="21"/>
      <c r="C68" s="22"/>
      <c r="G68" s="23">
        <v>2.9002819708428871</v>
      </c>
      <c r="H68" s="24">
        <v>0.51309022100510637</v>
      </c>
      <c r="I68" s="25">
        <v>0.14243105452085991</v>
      </c>
    </row>
    <row r="69" spans="1:9" x14ac:dyDescent="0.2">
      <c r="A69" s="20"/>
      <c r="B69" s="21"/>
      <c r="C69" s="22"/>
      <c r="G69" s="23">
        <v>4.8758091717235557</v>
      </c>
      <c r="H69" s="24">
        <v>0.76500726167056443</v>
      </c>
      <c r="I69" s="25">
        <v>0.13638910727619269</v>
      </c>
    </row>
    <row r="70" spans="1:9" x14ac:dyDescent="0.2">
      <c r="A70" s="20"/>
      <c r="B70" s="21"/>
      <c r="C70" s="22"/>
      <c r="G70" s="23">
        <v>1.9134412920122441</v>
      </c>
      <c r="H70" s="24">
        <v>0.28631086461831656</v>
      </c>
      <c r="I70" s="25">
        <v>9.7369521555724967E-2</v>
      </c>
    </row>
    <row r="71" spans="1:9" x14ac:dyDescent="0.2">
      <c r="A71" s="20"/>
      <c r="B71" s="21"/>
      <c r="C71" s="22"/>
      <c r="G71" s="23">
        <v>2.9621071747039909</v>
      </c>
      <c r="H71" s="24">
        <v>0.52200468244342069</v>
      </c>
      <c r="I71" s="25">
        <v>0.14246772856740955</v>
      </c>
    </row>
    <row r="72" spans="1:9" x14ac:dyDescent="0.2">
      <c r="A72" s="20"/>
      <c r="B72" s="21"/>
      <c r="C72" s="22"/>
      <c r="G72" s="23">
        <v>1.9184917005436768</v>
      </c>
      <c r="H72" s="24">
        <v>0.25517915019687387</v>
      </c>
      <c r="I72" s="25">
        <v>8.0886015124684615E-2</v>
      </c>
    </row>
    <row r="73" spans="1:9" x14ac:dyDescent="0.2">
      <c r="A73" s="20"/>
      <c r="B73" s="21"/>
      <c r="C73" s="22"/>
      <c r="G73" s="23">
        <v>3.3489522300062635</v>
      </c>
      <c r="H73" s="24">
        <v>0.57524545018912709</v>
      </c>
      <c r="I73" s="25">
        <v>0.14190869742508155</v>
      </c>
    </row>
    <row r="74" spans="1:9" x14ac:dyDescent="0.2">
      <c r="A74" s="20"/>
      <c r="B74" s="21"/>
      <c r="C74" s="22"/>
      <c r="G74" s="23">
        <v>2.008210666271117</v>
      </c>
      <c r="H74" s="24">
        <v>0.20675291251184194</v>
      </c>
      <c r="I74" s="25">
        <v>5.3158223295341131E-2</v>
      </c>
    </row>
    <row r="75" spans="1:9" x14ac:dyDescent="0.2">
      <c r="A75" s="20"/>
      <c r="B75" s="21"/>
      <c r="C75" s="22"/>
      <c r="G75" s="23">
        <v>2.5327036442615336</v>
      </c>
      <c r="H75" s="24">
        <v>0.4562958318615627</v>
      </c>
      <c r="I75" s="25">
        <v>0.14067805808181422</v>
      </c>
    </row>
    <row r="76" spans="1:9" x14ac:dyDescent="0.2">
      <c r="A76" s="20"/>
      <c r="B76" s="21"/>
      <c r="C76" s="22"/>
      <c r="G76" s="23">
        <v>3.7046852766854048</v>
      </c>
      <c r="H76" s="24">
        <v>0.62155685171081865</v>
      </c>
      <c r="I76" s="25">
        <v>0.14078303857631363</v>
      </c>
    </row>
    <row r="77" spans="1:9" x14ac:dyDescent="0.2">
      <c r="A77" s="20"/>
      <c r="B77" s="21"/>
      <c r="C77" s="22"/>
      <c r="G77" s="23">
        <v>4.1044789647489779</v>
      </c>
      <c r="H77" s="24">
        <v>0.67171144239581237</v>
      </c>
      <c r="I77" s="25">
        <v>0.13928965060262186</v>
      </c>
    </row>
    <row r="78" spans="1:9" x14ac:dyDescent="0.2">
      <c r="A78" s="20"/>
      <c r="B78" s="21"/>
      <c r="C78" s="22"/>
      <c r="G78" s="23">
        <v>4.1091762305020563</v>
      </c>
      <c r="H78" s="24">
        <v>0.67229169263638311</v>
      </c>
      <c r="I78" s="25">
        <v>0.1392716347617792</v>
      </c>
    </row>
    <row r="79" spans="1:9" x14ac:dyDescent="0.2">
      <c r="A79" s="20"/>
      <c r="B79" s="21"/>
      <c r="C79" s="22"/>
      <c r="G79" s="23">
        <v>4.8441190866284982</v>
      </c>
      <c r="H79" s="24">
        <v>0.76123854903983368</v>
      </c>
      <c r="I79" s="25">
        <v>0.13650336329983556</v>
      </c>
    </row>
    <row r="80" spans="1:9" x14ac:dyDescent="0.2">
      <c r="A80" s="20"/>
      <c r="B80" s="21"/>
      <c r="C80" s="22"/>
      <c r="G80" s="23">
        <v>3.2589782863471277</v>
      </c>
      <c r="H80" s="24">
        <v>0.5631857338742644</v>
      </c>
      <c r="I80" s="25">
        <v>0.14212605660018576</v>
      </c>
    </row>
    <row r="81" spans="1:9" x14ac:dyDescent="0.2">
      <c r="A81" s="20"/>
      <c r="B81" s="21"/>
      <c r="C81" s="22"/>
      <c r="G81" s="23">
        <v>2.8550726372754185</v>
      </c>
      <c r="H81" s="24">
        <v>0.50647948294968725</v>
      </c>
      <c r="I81" s="25">
        <v>0.1423709772398199</v>
      </c>
    </row>
    <row r="82" spans="1:9" x14ac:dyDescent="0.2">
      <c r="A82" s="20"/>
      <c r="B82" s="21"/>
      <c r="C82" s="22"/>
      <c r="G82" s="23">
        <v>1.9851612658467261</v>
      </c>
      <c r="H82" s="24">
        <v>0.3334857783705405</v>
      </c>
      <c r="I82" s="25">
        <v>0.11761552116565011</v>
      </c>
    </row>
    <row r="83" spans="1:9" x14ac:dyDescent="0.2">
      <c r="A83" s="20"/>
      <c r="B83" s="21"/>
      <c r="C83" s="22"/>
      <c r="G83" s="23">
        <v>3.9093452826961026</v>
      </c>
      <c r="H83" s="24">
        <v>0.64743413900161806</v>
      </c>
      <c r="I83" s="25">
        <v>0.14003217877290206</v>
      </c>
    </row>
    <row r="84" spans="1:9" x14ac:dyDescent="0.2">
      <c r="A84" s="20"/>
      <c r="B84" s="21"/>
      <c r="C84" s="22"/>
      <c r="G84" s="23">
        <v>2.0469592742663134</v>
      </c>
      <c r="H84" s="24">
        <v>0.19406639106624926</v>
      </c>
      <c r="I84" s="25">
        <v>4.5954206690237705E-2</v>
      </c>
    </row>
    <row r="85" spans="1:9" x14ac:dyDescent="0.2">
      <c r="A85" s="20"/>
      <c r="B85" s="21"/>
      <c r="C85" s="22"/>
      <c r="G85" s="23">
        <v>3.8323414044123436</v>
      </c>
      <c r="H85" s="24">
        <v>0.63775226050845346</v>
      </c>
      <c r="I85" s="25">
        <v>0.14031950765117102</v>
      </c>
    </row>
    <row r="86" spans="1:9" x14ac:dyDescent="0.2">
      <c r="A86" s="20"/>
      <c r="B86" s="21"/>
      <c r="C86" s="22"/>
      <c r="G86" s="23">
        <v>2.0696073256975782</v>
      </c>
      <c r="H86" s="24">
        <v>0.36151477476957067</v>
      </c>
      <c r="I86" s="25">
        <v>0.12635960939658389</v>
      </c>
    </row>
    <row r="87" spans="1:9" x14ac:dyDescent="0.2">
      <c r="A87" s="20"/>
      <c r="B87" s="21"/>
      <c r="C87" s="22"/>
      <c r="G87" s="23">
        <v>2.3831919186384303</v>
      </c>
      <c r="H87" s="24">
        <v>0.43026606050404098</v>
      </c>
      <c r="I87" s="25">
        <v>0.13858139431868041</v>
      </c>
    </row>
    <row r="88" spans="1:9" x14ac:dyDescent="0.2">
      <c r="A88" s="20"/>
      <c r="C88" s="22"/>
      <c r="G88" s="23">
        <v>2.0522678233760314</v>
      </c>
      <c r="H88" s="24">
        <v>0.19246404955955806</v>
      </c>
      <c r="I88" s="25">
        <v>4.5054571833288454E-2</v>
      </c>
    </row>
    <row r="89" spans="1:9" x14ac:dyDescent="0.2">
      <c r="A89" s="20"/>
      <c r="C89" s="22"/>
      <c r="G89" s="23">
        <v>1.9116189360239568</v>
      </c>
      <c r="H89" s="24">
        <v>0.26690848871714423</v>
      </c>
      <c r="I89" s="25">
        <v>8.7312635422092499E-2</v>
      </c>
    </row>
    <row r="90" spans="1:9" x14ac:dyDescent="0.2">
      <c r="A90" s="20"/>
      <c r="C90" s="22"/>
      <c r="G90" s="23">
        <v>2.4231112437771194</v>
      </c>
      <c r="H90" s="24">
        <v>0.43746243085838754</v>
      </c>
      <c r="I90" s="25">
        <v>0.13926823633661931</v>
      </c>
    </row>
    <row r="91" spans="1:9" x14ac:dyDescent="0.2">
      <c r="A91" s="20"/>
      <c r="C91" s="22"/>
      <c r="G91" s="23">
        <v>3.8898707166794395</v>
      </c>
      <c r="H91" s="24">
        <v>0.64499137820752939</v>
      </c>
      <c r="I91" s="25">
        <v>0.14010526735002682</v>
      </c>
    </row>
    <row r="92" spans="1:9" x14ac:dyDescent="0.2">
      <c r="A92" s="20"/>
      <c r="C92" s="22"/>
      <c r="G92" s="23">
        <v>4.647128772847374</v>
      </c>
      <c r="H92" s="24">
        <v>0.73770542455058286</v>
      </c>
      <c r="I92" s="25">
        <v>0.13722568369237031</v>
      </c>
    </row>
    <row r="93" spans="1:9" x14ac:dyDescent="0.2">
      <c r="A93" s="20"/>
      <c r="C93" s="22"/>
      <c r="G93" s="23">
        <v>3.1984777680909993</v>
      </c>
      <c r="H93" s="24">
        <v>0.55497903475199206</v>
      </c>
      <c r="I93" s="25">
        <v>0.14224861520092061</v>
      </c>
    </row>
    <row r="94" spans="1:9" x14ac:dyDescent="0.2">
      <c r="A94" s="20"/>
      <c r="C94" s="22"/>
      <c r="G94" s="23">
        <v>4.7792601626074518</v>
      </c>
      <c r="H94" s="24">
        <v>0.7535109815686859</v>
      </c>
      <c r="I94" s="25">
        <v>0.13673894239773496</v>
      </c>
    </row>
    <row r="95" spans="1:9" x14ac:dyDescent="0.2">
      <c r="A95" s="20"/>
      <c r="C95" s="22"/>
      <c r="G95" s="23">
        <v>3.1519368372574283</v>
      </c>
      <c r="H95" s="24">
        <v>0.54860737832026218</v>
      </c>
      <c r="I95" s="25">
        <v>0.14232752748322505</v>
      </c>
    </row>
    <row r="96" spans="1:9" x14ac:dyDescent="0.2">
      <c r="A96" s="20"/>
      <c r="C96" s="22"/>
      <c r="G96" s="23">
        <v>3.6850579720940937</v>
      </c>
      <c r="H96" s="24">
        <v>0.6190494299105006</v>
      </c>
      <c r="I96" s="25">
        <v>0.14085244583694467</v>
      </c>
    </row>
    <row r="97" spans="1:9" x14ac:dyDescent="0.2">
      <c r="A97" s="20"/>
      <c r="C97" s="22"/>
      <c r="G97" s="23">
        <v>3.6125482027884512</v>
      </c>
      <c r="H97" s="24">
        <v>0.60974271777557365</v>
      </c>
      <c r="I97" s="25">
        <v>0.14110336739368562</v>
      </c>
    </row>
    <row r="98" spans="1:9" x14ac:dyDescent="0.2">
      <c r="A98" s="20"/>
      <c r="C98" s="22"/>
      <c r="G98" s="23">
        <v>4.7246480980847476</v>
      </c>
      <c r="H98" s="24">
        <v>0.746988819553001</v>
      </c>
      <c r="I98" s="25">
        <v>0.13693904913789404</v>
      </c>
    </row>
    <row r="99" spans="1:9" x14ac:dyDescent="0.2">
      <c r="A99" s="20"/>
      <c r="C99" s="22"/>
      <c r="G99" s="23">
        <v>2.0714318976756894</v>
      </c>
      <c r="H99" s="24">
        <v>0.18689122812875542</v>
      </c>
      <c r="I99" s="25">
        <v>4.1947421364003389E-2</v>
      </c>
    </row>
    <row r="100" spans="1:9" x14ac:dyDescent="0.2">
      <c r="A100" s="20"/>
      <c r="C100" s="22"/>
      <c r="G100" s="23">
        <v>2.1912994355545385</v>
      </c>
      <c r="H100" s="24">
        <v>0.39184348190796059</v>
      </c>
      <c r="I100" s="25">
        <v>0.13318283922433879</v>
      </c>
    </row>
    <row r="101" spans="1:9" x14ac:dyDescent="0.2">
      <c r="A101" s="20"/>
      <c r="C101" s="22"/>
      <c r="G101" s="23">
        <v>3.0102835379098578</v>
      </c>
      <c r="H101" s="24">
        <v>0.52885916133567146</v>
      </c>
      <c r="I101" s="25">
        <v>0.14246470621279975</v>
      </c>
    </row>
    <row r="102" spans="1:9" x14ac:dyDescent="0.2">
      <c r="A102" s="20"/>
      <c r="C102" s="22"/>
      <c r="G102" s="23">
        <v>2.7108634916396182</v>
      </c>
      <c r="H102" s="24">
        <v>0.48478138303006946</v>
      </c>
      <c r="I102" s="25">
        <v>0.14194052290963019</v>
      </c>
    </row>
    <row r="103" spans="1:9" x14ac:dyDescent="0.2">
      <c r="A103" s="20"/>
      <c r="C103" s="22"/>
      <c r="G103" s="23">
        <v>2.6048921502752571</v>
      </c>
      <c r="H103" s="24">
        <v>0.46810682567225781</v>
      </c>
      <c r="I103" s="25">
        <v>0.14131365252232961</v>
      </c>
    </row>
    <row r="104" spans="1:9" x14ac:dyDescent="0.2">
      <c r="A104" s="20"/>
      <c r="C104" s="22"/>
      <c r="G104" s="23">
        <v>3.938106565084734</v>
      </c>
      <c r="H104" s="24">
        <v>0.65103480875781028</v>
      </c>
      <c r="I104" s="25">
        <v>0.13992379285852002</v>
      </c>
    </row>
    <row r="105" spans="1:9" x14ac:dyDescent="0.2">
      <c r="A105" s="20"/>
      <c r="C105" s="22"/>
      <c r="G105" s="23">
        <v>2.8917929865161942</v>
      </c>
      <c r="H105" s="24">
        <v>0.5118551061181279</v>
      </c>
      <c r="I105" s="25">
        <v>0.1424220566784701</v>
      </c>
    </row>
    <row r="106" spans="1:9" x14ac:dyDescent="0.2">
      <c r="A106" s="20"/>
      <c r="C106" s="22"/>
      <c r="G106" s="23">
        <v>4.2151846115561593</v>
      </c>
      <c r="H106" s="24">
        <v>0.6853396877536887</v>
      </c>
      <c r="I106" s="25">
        <v>0.13886454336040985</v>
      </c>
    </row>
    <row r="107" spans="1:9" x14ac:dyDescent="0.2">
      <c r="A107" s="20"/>
      <c r="C107" s="22"/>
      <c r="G107" s="23">
        <v>2.4217127974567503</v>
      </c>
      <c r="H107" s="24">
        <v>0.43721372838221745</v>
      </c>
      <c r="I107" s="25">
        <v>0.1392459614724911</v>
      </c>
    </row>
    <row r="108" spans="1:9" x14ac:dyDescent="0.2">
      <c r="A108" s="20"/>
      <c r="C108" s="22"/>
      <c r="G108" s="23">
        <v>3.1658501529326895</v>
      </c>
      <c r="H108" s="24">
        <v>0.55051775090920052</v>
      </c>
      <c r="I108" s="25">
        <v>0.14230545592998034</v>
      </c>
    </row>
    <row r="109" spans="1:9" x14ac:dyDescent="0.2">
      <c r="A109" s="20"/>
      <c r="C109" s="22"/>
      <c r="G109" s="23">
        <v>2.4964834991433205</v>
      </c>
      <c r="H109" s="24">
        <v>0.45020434827744649</v>
      </c>
      <c r="I109" s="25">
        <v>0.14027905528216172</v>
      </c>
    </row>
    <row r="110" spans="1:9" x14ac:dyDescent="0.2">
      <c r="A110" s="20"/>
      <c r="C110" s="22"/>
      <c r="G110" s="23">
        <v>1.9552612351670673</v>
      </c>
      <c r="H110" s="24">
        <v>0.32001399073856462</v>
      </c>
      <c r="I110" s="25">
        <v>0.11252408900217847</v>
      </c>
    </row>
    <row r="111" spans="1:9" x14ac:dyDescent="0.2">
      <c r="A111" s="20"/>
      <c r="C111" s="22"/>
      <c r="G111" s="23">
        <v>2.3482731594042385</v>
      </c>
      <c r="H111" s="24">
        <v>0.42379153472571052</v>
      </c>
      <c r="I111" s="25">
        <v>0.13788495258266331</v>
      </c>
    </row>
    <row r="112" spans="1:9" x14ac:dyDescent="0.2">
      <c r="A112" s="20"/>
      <c r="C112" s="22"/>
      <c r="G112" s="23">
        <v>3.7153718105358893</v>
      </c>
      <c r="H112" s="24">
        <v>0.62292004671671453</v>
      </c>
      <c r="I112" s="25">
        <v>0.14074501069952799</v>
      </c>
    </row>
    <row r="113" spans="1:9" x14ac:dyDescent="0.2">
      <c r="A113" s="20"/>
      <c r="C113" s="22"/>
      <c r="G113" s="23">
        <v>2.7190180656356278</v>
      </c>
      <c r="H113" s="24">
        <v>0.48603635015673741</v>
      </c>
      <c r="I113" s="25">
        <v>0.14197638241008786</v>
      </c>
    </row>
    <row r="114" spans="1:9" x14ac:dyDescent="0.2">
      <c r="A114" s="20"/>
      <c r="C114" s="22"/>
      <c r="G114" s="23">
        <v>1.9136660493993236</v>
      </c>
      <c r="H114" s="24">
        <v>0.28673721555137849</v>
      </c>
      <c r="I114" s="25">
        <v>9.7580878398233012E-2</v>
      </c>
    </row>
    <row r="115" spans="1:9" x14ac:dyDescent="0.2">
      <c r="A115" s="20"/>
      <c r="C115" s="22"/>
      <c r="G115" s="23">
        <v>1.9658783835129774</v>
      </c>
      <c r="H115" s="24">
        <v>0.32518469538688205</v>
      </c>
      <c r="I115" s="25">
        <v>0.1145466046044854</v>
      </c>
    </row>
    <row r="116" spans="1:9" x14ac:dyDescent="0.2">
      <c r="A116" s="20"/>
      <c r="C116" s="22"/>
      <c r="G116" s="23">
        <v>1.9938493647679094</v>
      </c>
      <c r="H116" s="24">
        <v>0.33688939294304221</v>
      </c>
      <c r="I116" s="25">
        <v>0.1188100744413562</v>
      </c>
    </row>
    <row r="117" spans="1:9" x14ac:dyDescent="0.2">
      <c r="A117" s="20"/>
      <c r="C117" s="22"/>
      <c r="G117" s="23">
        <v>3.7679470218216875</v>
      </c>
      <c r="H117" s="24">
        <v>0.62960644054296355</v>
      </c>
      <c r="I117" s="25">
        <v>0.14055570208012078</v>
      </c>
    </row>
    <row r="118" spans="1:9" x14ac:dyDescent="0.2">
      <c r="A118" s="20"/>
      <c r="C118" s="22"/>
      <c r="G118" s="23">
        <v>2.5860271972075437</v>
      </c>
      <c r="H118" s="24">
        <v>0.4650593609057308</v>
      </c>
      <c r="I118" s="25">
        <v>0.14116609438980951</v>
      </c>
    </row>
    <row r="119" spans="1:9" x14ac:dyDescent="0.2">
      <c r="A119" s="20"/>
      <c r="C119" s="22"/>
      <c r="G119" s="23">
        <v>2.4295284731168323</v>
      </c>
      <c r="H119" s="24">
        <v>0.43860067847252054</v>
      </c>
      <c r="I119" s="25">
        <v>0.13936888607360712</v>
      </c>
    </row>
    <row r="120" spans="1:9" x14ac:dyDescent="0.2">
      <c r="A120" s="20"/>
      <c r="C120" s="22"/>
      <c r="G120" s="23">
        <v>1.92436691430491</v>
      </c>
      <c r="H120" s="24">
        <v>0.2491281025125725</v>
      </c>
      <c r="I120" s="25">
        <v>7.7494629487704594E-2</v>
      </c>
    </row>
    <row r="121" spans="1:9" x14ac:dyDescent="0.2">
      <c r="A121" s="20"/>
      <c r="C121" s="22"/>
      <c r="G121" s="23">
        <v>1.9189532786232015</v>
      </c>
      <c r="H121" s="24">
        <v>0.25463754761634866</v>
      </c>
      <c r="I121" s="25">
        <v>8.0584320550618566E-2</v>
      </c>
    </row>
    <row r="122" spans="1:9" x14ac:dyDescent="0.2">
      <c r="A122" s="20"/>
      <c r="C122" s="22"/>
      <c r="G122" s="23">
        <v>2.7595299654500449</v>
      </c>
      <c r="H122" s="24">
        <v>0.49221794236792527</v>
      </c>
      <c r="I122" s="25">
        <v>0.14213215503671595</v>
      </c>
    </row>
    <row r="123" spans="1:9" x14ac:dyDescent="0.2">
      <c r="A123" s="20"/>
      <c r="C123" s="22"/>
      <c r="G123" s="23">
        <v>3.5590541811616379</v>
      </c>
      <c r="H123" s="24">
        <v>0.60283034764304022</v>
      </c>
      <c r="I123" s="25">
        <v>0.14128201498433091</v>
      </c>
    </row>
    <row r="124" spans="1:9" x14ac:dyDescent="0.2">
      <c r="A124" s="20"/>
      <c r="C124" s="22"/>
      <c r="G124" s="23">
        <v>4.2141430014654286</v>
      </c>
      <c r="H124" s="24">
        <v>0.68521190648582608</v>
      </c>
      <c r="I124" s="25">
        <v>0.1388685445159806</v>
      </c>
    </row>
    <row r="125" spans="1:9" x14ac:dyDescent="0.2">
      <c r="A125" s="20"/>
      <c r="C125" s="22"/>
      <c r="G125" s="23">
        <v>2.2795054542357298</v>
      </c>
      <c r="H125" s="24">
        <v>0.41045430672490202</v>
      </c>
      <c r="I125" s="25">
        <v>0.13619371020056395</v>
      </c>
    </row>
    <row r="126" spans="1:9" x14ac:dyDescent="0.2">
      <c r="A126" s="20"/>
      <c r="C126" s="22"/>
      <c r="G126" s="23">
        <v>2.107673715976957</v>
      </c>
      <c r="H126" s="24">
        <v>0.17709811257846347</v>
      </c>
      <c r="I126" s="25">
        <v>3.65797184374008E-2</v>
      </c>
    </row>
    <row r="127" spans="1:9" x14ac:dyDescent="0.2">
      <c r="A127" s="20"/>
      <c r="C127" s="22"/>
      <c r="G127" s="23">
        <v>2.6263487627298874</v>
      </c>
      <c r="H127" s="24">
        <v>0.47154192025936165</v>
      </c>
      <c r="I127" s="25">
        <v>0.14146709075418312</v>
      </c>
    </row>
    <row r="128" spans="1:9" x14ac:dyDescent="0.2">
      <c r="A128" s="20"/>
      <c r="C128" s="22"/>
      <c r="G128" s="23">
        <v>2.0410712498890211</v>
      </c>
      <c r="H128" s="24">
        <v>0.3530465500667716</v>
      </c>
      <c r="I128" s="25">
        <v>0.12397732249200724</v>
      </c>
    </row>
    <row r="129" spans="1:9" x14ac:dyDescent="0.2">
      <c r="A129" s="20"/>
      <c r="C129" s="22"/>
      <c r="G129" s="23">
        <v>2.6738804470007689</v>
      </c>
      <c r="H129" s="24">
        <v>0.47904195311430919</v>
      </c>
      <c r="I129" s="25">
        <v>0.14175725472294615</v>
      </c>
    </row>
    <row r="130" spans="1:9" x14ac:dyDescent="0.2">
      <c r="A130" s="20"/>
      <c r="C130" s="22"/>
      <c r="G130" s="23">
        <v>2.0193302989412114</v>
      </c>
      <c r="H130" s="24">
        <v>0.3460158532004684</v>
      </c>
      <c r="I130" s="25">
        <v>0.12183041666801361</v>
      </c>
    </row>
    <row r="131" spans="1:9" x14ac:dyDescent="0.2">
      <c r="A131" s="20"/>
      <c r="C131" s="22"/>
      <c r="G131" s="23">
        <v>4.782212843659555</v>
      </c>
      <c r="H131" s="24">
        <v>0.75386320313084654</v>
      </c>
      <c r="I131" s="25">
        <v>0.13672816811314617</v>
      </c>
    </row>
    <row r="132" spans="1:9" x14ac:dyDescent="0.2">
      <c r="A132" s="20"/>
      <c r="C132" s="22"/>
      <c r="G132" s="23">
        <v>2.5563650059598344</v>
      </c>
      <c r="H132" s="24">
        <v>0.46021292811140541</v>
      </c>
      <c r="I132" s="25">
        <v>0.14090825284397943</v>
      </c>
    </row>
    <row r="133" spans="1:9" x14ac:dyDescent="0.2">
      <c r="A133" s="20"/>
      <c r="C133" s="22"/>
      <c r="G133" s="23">
        <v>2.1886231711125705</v>
      </c>
      <c r="H133" s="24">
        <v>0.15767847782166042</v>
      </c>
      <c r="I133" s="25">
        <v>2.6353772130733619E-2</v>
      </c>
    </row>
    <row r="134" spans="1:9" x14ac:dyDescent="0.2">
      <c r="A134" s="20"/>
      <c r="C134" s="22"/>
      <c r="G134" s="23">
        <v>3.1282895091869047</v>
      </c>
      <c r="H134" s="24">
        <v>0.54534916985527171</v>
      </c>
      <c r="I134" s="25">
        <v>0.14236187765144198</v>
      </c>
    </row>
    <row r="135" spans="1:9" x14ac:dyDescent="0.2">
      <c r="A135" s="20"/>
      <c r="C135" s="22"/>
      <c r="G135" s="23">
        <v>2.9197125227129863</v>
      </c>
      <c r="H135" s="24">
        <v>0.51590694403975013</v>
      </c>
      <c r="I135" s="25">
        <v>0.14244790859175915</v>
      </c>
    </row>
    <row r="136" spans="1:9" x14ac:dyDescent="0.2">
      <c r="A136" s="20"/>
      <c r="C136" s="22"/>
      <c r="G136" s="23">
        <v>3.2889565202745361</v>
      </c>
      <c r="H136" s="24">
        <v>0.56722234143131567</v>
      </c>
      <c r="I136" s="25">
        <v>0.14205792538181669</v>
      </c>
    </row>
    <row r="137" spans="1:9" x14ac:dyDescent="0.2">
      <c r="A137" s="20"/>
      <c r="C137" s="22"/>
      <c r="G137" s="23">
        <v>3.8290086956117615</v>
      </c>
      <c r="H137" s="24">
        <v>0.63733181049858745</v>
      </c>
      <c r="I137" s="25">
        <v>0.14033183304709673</v>
      </c>
    </row>
    <row r="138" spans="1:9" x14ac:dyDescent="0.2">
      <c r="A138" s="20"/>
      <c r="C138" s="22"/>
      <c r="G138" s="23">
        <v>2.4756718988825823</v>
      </c>
      <c r="H138" s="24">
        <v>0.44664800228496232</v>
      </c>
      <c r="I138" s="25">
        <v>0.14002178598517398</v>
      </c>
    </row>
    <row r="139" spans="1:9" x14ac:dyDescent="0.2">
      <c r="A139" s="20"/>
      <c r="C139" s="22"/>
      <c r="G139" s="23">
        <v>4.7365431460997511</v>
      </c>
      <c r="H139" s="24">
        <v>0.74841064669359558</v>
      </c>
      <c r="I139" s="25">
        <v>0.1368953317225465</v>
      </c>
    </row>
    <row r="140" spans="1:9" x14ac:dyDescent="0.2">
      <c r="A140" s="20"/>
      <c r="C140" s="22"/>
      <c r="G140" s="23">
        <v>3.4191693254555271</v>
      </c>
      <c r="H140" s="24">
        <v>0.58454809675372488</v>
      </c>
      <c r="I140" s="25">
        <v>0.14171515041860458</v>
      </c>
    </row>
    <row r="141" spans="1:9" x14ac:dyDescent="0.2">
      <c r="A141" s="20"/>
      <c r="C141" s="22"/>
      <c r="G141" s="23">
        <v>2.1547421237804576</v>
      </c>
      <c r="H141" s="24">
        <v>0.38345097667711325</v>
      </c>
      <c r="I141" s="25">
        <v>0.13154751654907423</v>
      </c>
    </row>
    <row r="142" spans="1:9" x14ac:dyDescent="0.2">
      <c r="A142" s="20"/>
      <c r="C142" s="22"/>
      <c r="G142" s="23">
        <v>1.9377515348065406</v>
      </c>
      <c r="H142" s="24">
        <v>0.23896640492830989</v>
      </c>
      <c r="I142" s="25">
        <v>7.1715284927934664E-2</v>
      </c>
    </row>
    <row r="143" spans="1:9" x14ac:dyDescent="0.2">
      <c r="A143" s="20"/>
      <c r="C143" s="22"/>
      <c r="G143" s="23">
        <v>3.3613139771273466</v>
      </c>
      <c r="H143" s="24">
        <v>0.57688979977117916</v>
      </c>
      <c r="I143" s="25">
        <v>0.14187600489753224</v>
      </c>
    </row>
    <row r="144" spans="1:9" x14ac:dyDescent="0.2">
      <c r="A144" s="20"/>
      <c r="C144" s="22"/>
      <c r="G144" s="23">
        <v>2.0901880876030683</v>
      </c>
      <c r="H144" s="24">
        <v>0.36720839729485477</v>
      </c>
      <c r="I144" s="25">
        <v>0.12783940229568572</v>
      </c>
    </row>
    <row r="145" spans="1:9" x14ac:dyDescent="0.2">
      <c r="A145" s="20"/>
      <c r="C145" s="22"/>
      <c r="G145" s="23">
        <v>2.1685099475667062</v>
      </c>
      <c r="H145" s="24">
        <v>0.38666865428790365</v>
      </c>
      <c r="I145" s="25">
        <v>0.13219614377119163</v>
      </c>
    </row>
    <row r="146" spans="1:9" x14ac:dyDescent="0.2">
      <c r="A146" s="20"/>
      <c r="C146" s="22"/>
      <c r="G146" s="23">
        <v>3.0826271446935181</v>
      </c>
      <c r="H146" s="24">
        <v>0.53901562921421098</v>
      </c>
      <c r="I146" s="25">
        <v>0.14241606497231529</v>
      </c>
    </row>
    <row r="147" spans="1:9" x14ac:dyDescent="0.2">
      <c r="A147" s="20"/>
      <c r="C147" s="22"/>
      <c r="G147" s="23">
        <v>4.1517113539145383</v>
      </c>
      <c r="H147" s="24">
        <v>0.67753780062655122</v>
      </c>
      <c r="I147" s="25">
        <v>0.13910836999587894</v>
      </c>
    </row>
    <row r="148" spans="1:9" x14ac:dyDescent="0.2">
      <c r="A148" s="20"/>
      <c r="C148" s="22"/>
      <c r="G148" s="23">
        <v>2.122133069409903</v>
      </c>
      <c r="H148" s="24">
        <v>0.37551117326309469</v>
      </c>
      <c r="I148" s="25">
        <v>0.12982747205838011</v>
      </c>
    </row>
    <row r="149" spans="1:9" x14ac:dyDescent="0.2">
      <c r="A149" s="20"/>
      <c r="C149" s="22"/>
      <c r="G149" s="23">
        <v>2.2156511789234394</v>
      </c>
      <c r="H149" s="24">
        <v>0.39718796759794811</v>
      </c>
      <c r="I149" s="25">
        <v>0.13413120663345227</v>
      </c>
    </row>
    <row r="150" spans="1:9" x14ac:dyDescent="0.2">
      <c r="A150" s="20"/>
      <c r="C150" s="22"/>
      <c r="G150" s="23">
        <v>3.1528051245168762</v>
      </c>
      <c r="H150" s="24">
        <v>0.54872674118159015</v>
      </c>
      <c r="I150" s="25">
        <v>0.1423261895262985</v>
      </c>
    </row>
    <row r="151" spans="1:9" x14ac:dyDescent="0.2">
      <c r="A151" s="20"/>
      <c r="C151" s="22"/>
      <c r="G151" s="23">
        <v>4.9045807471742666</v>
      </c>
      <c r="H151" s="24">
        <v>0.76842504540770995</v>
      </c>
      <c r="I151" s="25">
        <v>0.1362858679210657</v>
      </c>
    </row>
    <row r="152" spans="1:9" x14ac:dyDescent="0.2">
      <c r="A152" s="20"/>
      <c r="C152" s="22"/>
      <c r="G152" s="23">
        <v>2.7690992507876149</v>
      </c>
      <c r="H152" s="24">
        <v>0.49366571192932496</v>
      </c>
      <c r="I152" s="25">
        <v>0.14216381385652338</v>
      </c>
    </row>
    <row r="153" spans="1:9" x14ac:dyDescent="0.2">
      <c r="A153" s="20"/>
      <c r="C153" s="22"/>
      <c r="G153" s="23">
        <v>4.0273598165604918</v>
      </c>
      <c r="H153" s="24">
        <v>0.66215809564782102</v>
      </c>
      <c r="I153" s="25">
        <v>0.1395847701131924</v>
      </c>
    </row>
    <row r="154" spans="1:9" x14ac:dyDescent="0.2">
      <c r="A154" s="20"/>
      <c r="C154" s="22"/>
      <c r="G154" s="23">
        <v>2.3064285974558207</v>
      </c>
      <c r="H154" s="24">
        <v>0.41577825404892771</v>
      </c>
      <c r="I154" s="25">
        <v>0.13691221696918812</v>
      </c>
    </row>
    <row r="155" spans="1:9" x14ac:dyDescent="0.2">
      <c r="A155" s="20"/>
      <c r="C155" s="22"/>
      <c r="G155" s="23">
        <v>5.0506998341049663</v>
      </c>
      <c r="H155" s="24">
        <v>0.78572875651605467</v>
      </c>
      <c r="I155" s="25">
        <v>0.13576905726916089</v>
      </c>
    </row>
    <row r="156" spans="1:9" x14ac:dyDescent="0.2">
      <c r="A156" s="20"/>
      <c r="C156" s="22"/>
      <c r="G156" s="23">
        <v>2.3042586131674647</v>
      </c>
      <c r="H156" s="24">
        <v>0.41535432271426148</v>
      </c>
      <c r="I156" s="25">
        <v>0.13685717367924041</v>
      </c>
    </row>
    <row r="157" spans="1:9" x14ac:dyDescent="0.2">
      <c r="A157" s="20"/>
      <c r="C157" s="22"/>
      <c r="G157" s="23">
        <v>3.7474801065244057</v>
      </c>
      <c r="H157" s="24">
        <v>0.62700743549595583</v>
      </c>
      <c r="I157" s="25">
        <v>0.1406298149757523</v>
      </c>
    </row>
    <row r="158" spans="1:9" x14ac:dyDescent="0.2">
      <c r="A158" s="20"/>
      <c r="C158" s="22"/>
      <c r="G158" s="23">
        <v>2.9019171476738697</v>
      </c>
      <c r="H158" s="24">
        <v>0.51332781380023884</v>
      </c>
      <c r="I158" s="25">
        <v>0.14243267167067111</v>
      </c>
    </row>
    <row r="159" spans="1:9" x14ac:dyDescent="0.2">
      <c r="A159" s="20"/>
      <c r="C159" s="22"/>
      <c r="G159" s="23">
        <v>2.3807828111331739</v>
      </c>
      <c r="H159" s="24">
        <v>0.42982502297600583</v>
      </c>
      <c r="I159" s="25">
        <v>0.13853637549109485</v>
      </c>
    </row>
    <row r="160" spans="1:9" x14ac:dyDescent="0.2">
      <c r="A160" s="20"/>
      <c r="C160" s="22"/>
      <c r="G160" s="23">
        <v>3.5660030017010609</v>
      </c>
      <c r="H160" s="24">
        <v>0.60373058549815273</v>
      </c>
      <c r="I160" s="25">
        <v>0.14125915871852776</v>
      </c>
    </row>
    <row r="161" spans="1:9" x14ac:dyDescent="0.2">
      <c r="A161" s="20"/>
      <c r="C161" s="22"/>
      <c r="G161" s="23">
        <v>1.9922884067750739</v>
      </c>
      <c r="H161" s="24">
        <v>0.21263277427876887</v>
      </c>
      <c r="I161" s="25">
        <v>5.6534371432182311E-2</v>
      </c>
    </row>
    <row r="162" spans="1:9" x14ac:dyDescent="0.2">
      <c r="A162" s="20"/>
      <c r="C162" s="22"/>
      <c r="G162" s="23">
        <v>2.8375636781160232</v>
      </c>
      <c r="H162" s="24">
        <v>0.50389668207456917</v>
      </c>
      <c r="I162" s="25">
        <v>0.14233924817243815</v>
      </c>
    </row>
    <row r="163" spans="1:9" x14ac:dyDescent="0.2">
      <c r="A163" s="20"/>
      <c r="C163" s="22"/>
      <c r="G163" s="23">
        <v>5.1756230565368044</v>
      </c>
      <c r="H163" s="24">
        <v>0.80045591408737848</v>
      </c>
      <c r="I163" s="25">
        <v>0.13533750525216237</v>
      </c>
    </row>
    <row r="164" spans="1:9" x14ac:dyDescent="0.2">
      <c r="A164" s="20"/>
      <c r="C164" s="22"/>
      <c r="G164" s="23">
        <v>2.7065155162965153</v>
      </c>
      <c r="H164" s="24">
        <v>0.48411072091751772</v>
      </c>
      <c r="I164" s="25">
        <v>0.1419207527592537</v>
      </c>
    </row>
    <row r="165" spans="1:9" x14ac:dyDescent="0.2">
      <c r="A165" s="20"/>
      <c r="C165" s="22"/>
      <c r="G165" s="23">
        <v>2.9461050111597902</v>
      </c>
      <c r="H165" s="24">
        <v>0.51971056480446454</v>
      </c>
      <c r="I165" s="25">
        <v>0.14246286596183527</v>
      </c>
    </row>
    <row r="166" spans="1:9" x14ac:dyDescent="0.2">
      <c r="A166" s="20"/>
      <c r="C166" s="22"/>
      <c r="G166" s="23">
        <v>1.9677882972875358</v>
      </c>
      <c r="H166" s="24">
        <v>0.32606266270223982</v>
      </c>
      <c r="I166" s="25">
        <v>0.11488159652323165</v>
      </c>
    </row>
    <row r="167" spans="1:9" x14ac:dyDescent="0.2">
      <c r="A167" s="20"/>
      <c r="C167" s="22"/>
      <c r="G167" s="23">
        <v>2.3953991922543181</v>
      </c>
      <c r="H167" s="24">
        <v>0.43248868772951649</v>
      </c>
      <c r="I167" s="25">
        <v>0.1388030384724703</v>
      </c>
    </row>
    <row r="168" spans="1:9" x14ac:dyDescent="0.2">
      <c r="A168" s="20"/>
      <c r="C168" s="22"/>
      <c r="G168" s="23">
        <v>3.8298232773703771</v>
      </c>
      <c r="H168" s="24">
        <v>0.63743458821020504</v>
      </c>
      <c r="I168" s="25">
        <v>0.14032882140950922</v>
      </c>
    </row>
    <row r="169" spans="1:9" x14ac:dyDescent="0.2">
      <c r="A169" s="20"/>
      <c r="C169" s="22"/>
      <c r="G169" s="23">
        <v>3.7210818677570785</v>
      </c>
      <c r="H169" s="24">
        <v>0.62364785429849734</v>
      </c>
      <c r="I169" s="25">
        <v>0.14072462563797758</v>
      </c>
    </row>
    <row r="170" spans="1:9" x14ac:dyDescent="0.2">
      <c r="A170" s="20"/>
      <c r="C170" s="22"/>
      <c r="G170" s="23">
        <v>1.9982715263481534</v>
      </c>
      <c r="H170" s="24">
        <v>0.33855783201556189</v>
      </c>
      <c r="I170" s="25">
        <v>0.11938208966096357</v>
      </c>
    </row>
    <row r="171" spans="1:9" x14ac:dyDescent="0.2">
      <c r="A171" s="20"/>
      <c r="C171" s="22"/>
      <c r="G171" s="23">
        <v>2.0674288066854465</v>
      </c>
      <c r="H171" s="24">
        <v>0.36089357218040019</v>
      </c>
      <c r="I171" s="25">
        <v>0.12619228766022428</v>
      </c>
    </row>
    <row r="172" spans="1:9" x14ac:dyDescent="0.2">
      <c r="A172" s="20"/>
      <c r="C172" s="22"/>
      <c r="G172" s="23">
        <v>1.9111281802557505</v>
      </c>
      <c r="H172" s="24">
        <v>0.28034539857667556</v>
      </c>
      <c r="I172" s="25">
        <v>9.4365934713194016E-2</v>
      </c>
    </row>
    <row r="173" spans="1:9" x14ac:dyDescent="0.2">
      <c r="A173" s="20"/>
      <c r="C173" s="22"/>
      <c r="G173" s="23">
        <v>3.2620338366219599</v>
      </c>
      <c r="H173" s="24">
        <v>0.56359804583586848</v>
      </c>
      <c r="I173" s="25">
        <v>0.14211932419003878</v>
      </c>
    </row>
    <row r="174" spans="1:9" x14ac:dyDescent="0.2">
      <c r="A174" s="20"/>
      <c r="C174" s="22"/>
      <c r="G174" s="23">
        <v>2.0302389757418928</v>
      </c>
      <c r="H174" s="24">
        <v>0.34961640408528843</v>
      </c>
      <c r="I174" s="25">
        <v>0.12294927128170079</v>
      </c>
    </row>
    <row r="175" spans="1:9" x14ac:dyDescent="0.2">
      <c r="A175" s="20"/>
      <c r="C175" s="22"/>
      <c r="G175" s="23">
        <v>2.2352427069598888</v>
      </c>
      <c r="H175" s="24">
        <v>0.40136496290957069</v>
      </c>
      <c r="I175" s="25">
        <v>0.13482426784397625</v>
      </c>
    </row>
    <row r="176" spans="1:9" x14ac:dyDescent="0.2">
      <c r="A176" s="20"/>
      <c r="C176" s="22"/>
      <c r="G176" s="23">
        <v>3.2130747987263319</v>
      </c>
      <c r="H176" s="24">
        <v>0.55696671491337701</v>
      </c>
      <c r="I176" s="25">
        <v>0.14222100076985547</v>
      </c>
    </row>
    <row r="177" spans="1:9" x14ac:dyDescent="0.2">
      <c r="A177" s="20"/>
      <c r="C177" s="22"/>
      <c r="G177" s="23">
        <v>4.074666808836394</v>
      </c>
      <c r="H177" s="24">
        <v>0.66802445013918565</v>
      </c>
      <c r="I177" s="25">
        <v>0.13940390105449646</v>
      </c>
    </row>
    <row r="178" spans="1:9" x14ac:dyDescent="0.2">
      <c r="A178" s="20"/>
      <c r="C178" s="22"/>
      <c r="G178" s="23">
        <v>3.1218379209940426</v>
      </c>
      <c r="H178" s="24">
        <v>0.54445772148576399</v>
      </c>
      <c r="I178" s="25">
        <v>0.14237053019527854</v>
      </c>
    </row>
    <row r="179" spans="1:9" x14ac:dyDescent="0.2">
      <c r="A179" s="20"/>
      <c r="C179" s="22"/>
      <c r="G179" s="23">
        <v>5.3639386671236844</v>
      </c>
      <c r="H179" s="24">
        <v>0.82255197437143834</v>
      </c>
      <c r="I179" s="25">
        <v>0.13470548746389335</v>
      </c>
    </row>
    <row r="180" spans="1:9" x14ac:dyDescent="0.2">
      <c r="A180" s="20"/>
      <c r="C180" s="22"/>
      <c r="G180" s="23">
        <v>2.5478966084328771</v>
      </c>
      <c r="H180" s="24">
        <v>0.45881639081960945</v>
      </c>
      <c r="I180" s="25">
        <v>0.14082847323627817</v>
      </c>
    </row>
    <row r="181" spans="1:9" x14ac:dyDescent="0.2">
      <c r="A181" s="20"/>
      <c r="C181" s="22"/>
      <c r="G181" s="23">
        <v>1.9775521279010484</v>
      </c>
      <c r="H181" s="24">
        <v>0.33034806708186454</v>
      </c>
      <c r="I181" s="25">
        <v>0.11648141272323237</v>
      </c>
    </row>
    <row r="182" spans="1:9" x14ac:dyDescent="0.2">
      <c r="A182" s="20"/>
      <c r="C182" s="22"/>
      <c r="G182" s="23">
        <v>2.0797846156823288</v>
      </c>
      <c r="H182" s="24">
        <v>0.36436833211887942</v>
      </c>
      <c r="I182" s="25">
        <v>0.12711332155999733</v>
      </c>
    </row>
    <row r="183" spans="1:9" x14ac:dyDescent="0.2">
      <c r="A183" s="20"/>
      <c r="C183" s="22"/>
      <c r="G183" s="23">
        <v>3.3090869207823199</v>
      </c>
      <c r="H183" s="24">
        <v>0.56992238784424298</v>
      </c>
      <c r="I183" s="25">
        <v>0.14200968351808355</v>
      </c>
    </row>
    <row r="184" spans="1:9" x14ac:dyDescent="0.2">
      <c r="A184" s="20"/>
      <c r="C184" s="22"/>
      <c r="G184" s="23">
        <v>1.9304324111841262</v>
      </c>
      <c r="H184" s="24">
        <v>0.24410753381194092</v>
      </c>
      <c r="I184" s="25">
        <v>7.4650389978393142E-2</v>
      </c>
    </row>
    <row r="185" spans="1:9" x14ac:dyDescent="0.2">
      <c r="A185" s="20"/>
      <c r="C185" s="22"/>
      <c r="G185" s="23">
        <v>2.0564714896601455</v>
      </c>
      <c r="H185" s="24">
        <v>0.35770917085834919</v>
      </c>
      <c r="I185" s="25">
        <v>0.12531618875534342</v>
      </c>
    </row>
    <row r="186" spans="1:9" x14ac:dyDescent="0.2">
      <c r="A186" s="20"/>
      <c r="C186" s="22"/>
      <c r="G186" s="23">
        <v>1.9731100091067724</v>
      </c>
      <c r="H186" s="24">
        <v>0.32843797463755714</v>
      </c>
      <c r="I186" s="25">
        <v>0.11577558883848295</v>
      </c>
    </row>
    <row r="187" spans="1:9" x14ac:dyDescent="0.2">
      <c r="A187" s="20"/>
      <c r="C187" s="22"/>
      <c r="G187" s="23">
        <v>1.9103727285817591</v>
      </c>
      <c r="H187" s="24">
        <v>0.27477291200009596</v>
      </c>
      <c r="I187" s="25">
        <v>9.1486288458341544E-2</v>
      </c>
    </row>
    <row r="188" spans="1:9" x14ac:dyDescent="0.2">
      <c r="A188" s="20"/>
      <c r="C188" s="22"/>
      <c r="G188" s="23">
        <v>4.2270365295933843</v>
      </c>
      <c r="H188" s="24">
        <v>0.68679306876044566</v>
      </c>
      <c r="I188" s="25">
        <v>0.13881901969907404</v>
      </c>
    </row>
    <row r="189" spans="1:9" x14ac:dyDescent="0.2">
      <c r="A189" s="20"/>
      <c r="C189" s="22"/>
      <c r="G189" s="23">
        <v>4.7686590406634828</v>
      </c>
      <c r="H189" s="24">
        <v>0.75224604557260699</v>
      </c>
      <c r="I189" s="25">
        <v>0.13677766401846614</v>
      </c>
    </row>
    <row r="190" spans="1:9" x14ac:dyDescent="0.2">
      <c r="A190" s="20"/>
      <c r="C190" s="22"/>
      <c r="G190" s="23">
        <v>3.2046242179249012</v>
      </c>
      <c r="H190" s="24">
        <v>0.55581660568191671</v>
      </c>
      <c r="I190" s="25">
        <v>0.14223714644675459</v>
      </c>
    </row>
    <row r="191" spans="1:9" x14ac:dyDescent="0.2">
      <c r="A191" s="20"/>
      <c r="C191" s="22"/>
      <c r="G191" s="23">
        <v>2.27827400722482</v>
      </c>
      <c r="H191" s="24">
        <v>0.41020732621188405</v>
      </c>
      <c r="I191" s="25">
        <v>0.13615891843476433</v>
      </c>
    </row>
    <row r="192" spans="1:9" x14ac:dyDescent="0.2">
      <c r="A192" s="20"/>
      <c r="C192" s="22"/>
      <c r="G192" s="23">
        <v>3.6922897984471041</v>
      </c>
      <c r="H192" s="24">
        <v>0.61997387409033344</v>
      </c>
      <c r="I192" s="25">
        <v>0.14082693964566564</v>
      </c>
    </row>
    <row r="193" spans="1:9" x14ac:dyDescent="0.2">
      <c r="A193" s="20"/>
      <c r="C193" s="22"/>
      <c r="G193" s="23">
        <v>4.9337577098404273</v>
      </c>
      <c r="H193" s="24">
        <v>0.77188732528533255</v>
      </c>
      <c r="I193" s="25">
        <v>0.13618166178998428</v>
      </c>
    </row>
    <row r="194" spans="1:9" x14ac:dyDescent="0.2">
      <c r="A194" s="20"/>
      <c r="C194" s="22"/>
      <c r="G194" s="23">
        <v>2.1718276395838201</v>
      </c>
      <c r="H194" s="24">
        <v>0.38743332928356145</v>
      </c>
      <c r="I194" s="25">
        <v>0.13234628869928425</v>
      </c>
    </row>
    <row r="195" spans="1:9" x14ac:dyDescent="0.2">
      <c r="A195" s="20"/>
      <c r="C195" s="22"/>
      <c r="G195" s="23">
        <v>2.2600417021266161</v>
      </c>
      <c r="H195" s="24">
        <v>0.40651265622354371</v>
      </c>
      <c r="I195" s="25">
        <v>0.13562256592212898</v>
      </c>
    </row>
    <row r="196" spans="1:9" x14ac:dyDescent="0.2">
      <c r="A196" s="20"/>
      <c r="C196" s="22"/>
      <c r="G196" s="23">
        <v>2.3917595388880213</v>
      </c>
      <c r="H196" s="24">
        <v>0.43182810126769494</v>
      </c>
      <c r="I196" s="25">
        <v>0.138738068933072</v>
      </c>
    </row>
    <row r="197" spans="1:9" x14ac:dyDescent="0.2">
      <c r="A197" s="20"/>
      <c r="C197" s="22"/>
      <c r="G197" s="23">
        <v>2.043261701427006</v>
      </c>
      <c r="H197" s="24">
        <v>0.35372428774952575</v>
      </c>
      <c r="I197" s="25">
        <v>0.12417610826954255</v>
      </c>
    </row>
    <row r="198" spans="1:9" x14ac:dyDescent="0.2">
      <c r="A198" s="20"/>
      <c r="C198" s="22"/>
      <c r="G198" s="23">
        <v>3.8348781363245532</v>
      </c>
      <c r="H198" s="24">
        <v>0.63807221011209436</v>
      </c>
      <c r="I198" s="25">
        <v>0.14031011925132011</v>
      </c>
    </row>
    <row r="199" spans="1:9" x14ac:dyDescent="0.2">
      <c r="A199" s="20"/>
      <c r="C199" s="22"/>
      <c r="G199" s="23">
        <v>4.7557041721740267</v>
      </c>
      <c r="H199" s="24">
        <v>0.75069952783797433</v>
      </c>
      <c r="I199" s="25">
        <v>0.13682506371089034</v>
      </c>
    </row>
    <row r="200" spans="1:9" x14ac:dyDescent="0.2">
      <c r="A200" s="20"/>
      <c r="C200" s="22"/>
      <c r="G200" s="23">
        <v>2.3546672584765789</v>
      </c>
      <c r="H200" s="24">
        <v>0.42499069270298534</v>
      </c>
      <c r="I200" s="25">
        <v>0.13801979453484714</v>
      </c>
    </row>
    <row r="201" spans="1:9" x14ac:dyDescent="0.2">
      <c r="A201" s="20"/>
      <c r="C201" s="22"/>
      <c r="G201" s="23">
        <v>1.910932909450541</v>
      </c>
      <c r="H201" s="24">
        <v>0.26939280870193805</v>
      </c>
      <c r="I201" s="25">
        <v>8.8644036833573706E-2</v>
      </c>
    </row>
    <row r="202" spans="1:9" x14ac:dyDescent="0.2">
      <c r="A202" s="20"/>
      <c r="C202" s="22"/>
      <c r="G202" s="23">
        <v>3.457651546025879</v>
      </c>
      <c r="H202" s="24">
        <v>0.58960925244534246</v>
      </c>
      <c r="I202" s="25">
        <v>0.1416016751363996</v>
      </c>
    </row>
    <row r="203" spans="1:9" x14ac:dyDescent="0.2">
      <c r="A203" s="20"/>
      <c r="C203" s="22"/>
      <c r="G203" s="23">
        <v>2.2481688879539776</v>
      </c>
      <c r="H203" s="24">
        <v>0.40406656947306036</v>
      </c>
      <c r="I203" s="25">
        <v>0.13525076768572772</v>
      </c>
    </row>
    <row r="204" spans="1:9" x14ac:dyDescent="0.2">
      <c r="A204" s="20"/>
      <c r="C204" s="22"/>
      <c r="G204" s="23">
        <v>3.6097531089020936</v>
      </c>
      <c r="H204" s="24">
        <v>0.60938254508038159</v>
      </c>
      <c r="I204" s="25">
        <v>0.14111284850314712</v>
      </c>
    </row>
    <row r="205" spans="1:9" x14ac:dyDescent="0.2">
      <c r="A205" s="20"/>
      <c r="C205" s="22"/>
      <c r="G205" s="23">
        <v>2.1988134748525301</v>
      </c>
      <c r="H205" s="24">
        <v>0.39351183299438136</v>
      </c>
      <c r="I205" s="25">
        <v>0.13348646206743411</v>
      </c>
    </row>
    <row r="206" spans="1:9" x14ac:dyDescent="0.2">
      <c r="A206" s="20"/>
      <c r="C206" s="22"/>
      <c r="G206" s="23">
        <v>3.8520560576484129</v>
      </c>
      <c r="H206" s="24">
        <v>0.64023697577514704</v>
      </c>
      <c r="I206" s="25">
        <v>0.14024639470455488</v>
      </c>
    </row>
    <row r="207" spans="1:9" x14ac:dyDescent="0.2">
      <c r="A207" s="20"/>
      <c r="C207" s="22"/>
      <c r="G207" s="23">
        <v>4.5961094462508321</v>
      </c>
      <c r="H207" s="24">
        <v>0.73157846068369836</v>
      </c>
      <c r="I207" s="25">
        <v>0.13741588762834564</v>
      </c>
    </row>
    <row r="208" spans="1:9" x14ac:dyDescent="0.2">
      <c r="A208" s="20"/>
      <c r="C208" s="22"/>
      <c r="G208" s="23">
        <v>1.9170195827197345</v>
      </c>
      <c r="H208" s="24">
        <v>0.29190588665788492</v>
      </c>
      <c r="I208" s="25">
        <v>0.10010637705406537</v>
      </c>
    </row>
    <row r="209" spans="1:9" x14ac:dyDescent="0.2">
      <c r="A209" s="20"/>
      <c r="C209" s="22"/>
      <c r="G209" s="23">
        <v>3.8714282025020474</v>
      </c>
      <c r="H209" s="24">
        <v>0.64267448569263042</v>
      </c>
      <c r="I209" s="25">
        <v>0.14017423436957754</v>
      </c>
    </row>
    <row r="210" spans="1:9" x14ac:dyDescent="0.2">
      <c r="A210" s="20"/>
      <c r="C210" s="22"/>
      <c r="G210" s="23">
        <v>3.566658546870916</v>
      </c>
      <c r="H210" s="24">
        <v>0.60381547656304957</v>
      </c>
      <c r="I210" s="25">
        <v>0.14125699683669984</v>
      </c>
    </row>
    <row r="211" spans="1:9" x14ac:dyDescent="0.2">
      <c r="A211" s="20"/>
      <c r="C211" s="22"/>
      <c r="G211" s="23">
        <v>2.2728635580207928</v>
      </c>
      <c r="H211" s="24">
        <v>0.13980495750114685</v>
      </c>
      <c r="I211" s="25">
        <v>1.7513130460718392E-2</v>
      </c>
    </row>
    <row r="212" spans="1:9" x14ac:dyDescent="0.2">
      <c r="A212" s="20"/>
      <c r="C212" s="22"/>
      <c r="G212" s="23">
        <v>1.9672213212423206</v>
      </c>
      <c r="H212" s="24">
        <v>0.32580350804547087</v>
      </c>
      <c r="I212" s="25">
        <v>0.11478297033338247</v>
      </c>
    </row>
    <row r="213" spans="1:9" x14ac:dyDescent="0.2">
      <c r="A213" s="20"/>
      <c r="C213" s="22"/>
      <c r="G213" s="23">
        <v>2.7744403909171544</v>
      </c>
      <c r="H213" s="24">
        <v>0.49447181252103128</v>
      </c>
      <c r="I213" s="25">
        <v>0.14218067626261507</v>
      </c>
    </row>
    <row r="214" spans="1:9" x14ac:dyDescent="0.2">
      <c r="A214" s="20"/>
      <c r="C214" s="22"/>
      <c r="G214" s="23">
        <v>3.258846184219482</v>
      </c>
      <c r="H214" s="24">
        <v>0.56316790362715274</v>
      </c>
      <c r="I214" s="25">
        <v>0.14212634655169182</v>
      </c>
    </row>
    <row r="215" spans="1:9" x14ac:dyDescent="0.2">
      <c r="A215" s="20"/>
      <c r="C215" s="22"/>
      <c r="G215" s="23">
        <v>2.106365825720419</v>
      </c>
      <c r="H215" s="24">
        <v>0.17743714763061375</v>
      </c>
      <c r="I215" s="25">
        <v>3.6763388958806612E-2</v>
      </c>
    </row>
    <row r="216" spans="1:9" x14ac:dyDescent="0.2">
      <c r="A216" s="20"/>
      <c r="C216" s="22"/>
      <c r="G216" s="23">
        <v>3.5110555396704726</v>
      </c>
      <c r="H216" s="24">
        <v>0.59659224161020541</v>
      </c>
      <c r="I216" s="25">
        <v>0.14143673733133158</v>
      </c>
    </row>
    <row r="217" spans="1:9" x14ac:dyDescent="0.2">
      <c r="A217" s="20"/>
      <c r="C217" s="22"/>
      <c r="G217" s="23">
        <v>2.8150558228848244</v>
      </c>
      <c r="H217" s="24">
        <v>0.50055695432496317</v>
      </c>
      <c r="I217" s="25">
        <v>0.14229094484682817</v>
      </c>
    </row>
    <row r="218" spans="1:9" x14ac:dyDescent="0.2">
      <c r="A218" s="20"/>
      <c r="C218" s="22"/>
      <c r="G218" s="23">
        <v>2.4446160246651401</v>
      </c>
      <c r="H218" s="24">
        <v>0.44125784460221057</v>
      </c>
      <c r="I218" s="25">
        <v>0.13959568278574114</v>
      </c>
    </row>
    <row r="219" spans="1:9" x14ac:dyDescent="0.2">
      <c r="A219" s="20"/>
      <c r="C219" s="22"/>
      <c r="G219" s="23">
        <v>2.1537830941404841</v>
      </c>
      <c r="H219" s="24">
        <v>0.38322407191481533</v>
      </c>
      <c r="I219" s="25">
        <v>0.13150073988194536</v>
      </c>
    </row>
    <row r="220" spans="1:9" x14ac:dyDescent="0.2">
      <c r="A220" s="20"/>
      <c r="C220" s="22"/>
      <c r="G220" s="23">
        <v>2.1951724170728131</v>
      </c>
      <c r="H220" s="24">
        <v>0.15621775445051245</v>
      </c>
      <c r="I220" s="25">
        <v>2.5609720914478676E-2</v>
      </c>
    </row>
    <row r="221" spans="1:9" x14ac:dyDescent="0.2">
      <c r="A221" s="20"/>
      <c r="C221" s="22"/>
      <c r="G221" s="23">
        <v>2.6717318983691287</v>
      </c>
      <c r="H221" s="24">
        <v>0.47870602213007346</v>
      </c>
      <c r="I221" s="25">
        <v>0.14174551753157794</v>
      </c>
    </row>
    <row r="222" spans="1:9" x14ac:dyDescent="0.2">
      <c r="A222" s="20"/>
      <c r="C222" s="22"/>
      <c r="G222" s="23">
        <v>2.3710917891150021</v>
      </c>
      <c r="H222" s="24">
        <v>0.42804264910856554</v>
      </c>
      <c r="I222" s="25">
        <v>0.13835088507513649</v>
      </c>
    </row>
    <row r="223" spans="1:9" x14ac:dyDescent="0.2">
      <c r="A223" s="20"/>
      <c r="C223" s="22"/>
      <c r="G223" s="23">
        <v>2.3126934055927846</v>
      </c>
      <c r="H223" s="24">
        <v>0.41699729814983066</v>
      </c>
      <c r="I223" s="25">
        <v>0.1370684483698186</v>
      </c>
    </row>
    <row r="224" spans="1:9" x14ac:dyDescent="0.2">
      <c r="A224" s="20"/>
      <c r="C224" s="22"/>
      <c r="G224" s="23">
        <v>3.8772258985453099</v>
      </c>
      <c r="H224" s="24">
        <v>0.64340321750029494</v>
      </c>
      <c r="I224" s="25">
        <v>0.14015258079599061</v>
      </c>
    </row>
    <row r="225" spans="1:9" x14ac:dyDescent="0.2">
      <c r="A225" s="20"/>
      <c r="C225" s="22"/>
      <c r="G225" s="23">
        <v>2.1619233139348024</v>
      </c>
      <c r="H225" s="24">
        <v>0.38513840912914249</v>
      </c>
      <c r="I225" s="25">
        <v>0.13189108318558304</v>
      </c>
    </row>
    <row r="226" spans="1:9" x14ac:dyDescent="0.2">
      <c r="A226" s="20"/>
      <c r="C226" s="22"/>
      <c r="G226" s="23">
        <v>3.2885356486269917</v>
      </c>
      <c r="H226" s="24">
        <v>0.56716580170856568</v>
      </c>
      <c r="I226" s="25">
        <v>0.14205891318632888</v>
      </c>
    </row>
    <row r="227" spans="1:9" x14ac:dyDescent="0.2">
      <c r="A227" s="20"/>
      <c r="C227" s="22"/>
      <c r="G227" s="23">
        <v>2.9329354849870191</v>
      </c>
      <c r="H227" s="24">
        <v>0.51781575793530021</v>
      </c>
      <c r="I227" s="25">
        <v>0.14245651109063973</v>
      </c>
    </row>
    <row r="228" spans="1:9" x14ac:dyDescent="0.2">
      <c r="A228" s="20"/>
      <c r="C228" s="22"/>
      <c r="G228" s="23">
        <v>4.9327601698083026</v>
      </c>
      <c r="H228" s="24">
        <v>0.77176901236941786</v>
      </c>
      <c r="I228" s="25">
        <v>0.13618521634012629</v>
      </c>
    </row>
    <row r="229" spans="1:9" x14ac:dyDescent="0.2">
      <c r="A229" s="20"/>
      <c r="C229" s="22"/>
      <c r="G229" s="23">
        <v>3.8298476618825497</v>
      </c>
      <c r="H229" s="24">
        <v>0.63743766475026675</v>
      </c>
      <c r="I229" s="25">
        <v>0.14032873124670833</v>
      </c>
    </row>
    <row r="230" spans="1:9" x14ac:dyDescent="0.2">
      <c r="A230" s="26"/>
      <c r="C230" s="22"/>
      <c r="G230" s="23">
        <v>2.7177794347286359</v>
      </c>
      <c r="H230" s="24">
        <v>0.48584596578578748</v>
      </c>
      <c r="I230" s="25">
        <v>0.1419710368564906</v>
      </c>
    </row>
    <row r="231" spans="1:9" x14ac:dyDescent="0.2">
      <c r="A231" s="26"/>
      <c r="C231" s="22"/>
      <c r="G231" s="23">
        <v>2.8750114855822977</v>
      </c>
      <c r="H231" s="24">
        <v>0.50940514831652894</v>
      </c>
      <c r="I231" s="25">
        <v>0.14240122130972738</v>
      </c>
    </row>
    <row r="232" spans="1:9" x14ac:dyDescent="0.2">
      <c r="A232" s="26"/>
      <c r="C232" s="22"/>
      <c r="G232" s="23">
        <v>2.0904027535676799</v>
      </c>
      <c r="H232" s="24">
        <v>0.36726623105268358</v>
      </c>
      <c r="I232" s="25">
        <v>0.12785394063724109</v>
      </c>
    </row>
    <row r="233" spans="1:9" x14ac:dyDescent="0.2">
      <c r="A233" s="26"/>
      <c r="C233" s="22"/>
      <c r="G233" s="23">
        <v>4.2022542372756861</v>
      </c>
      <c r="H233" s="24">
        <v>0.68375285170932454</v>
      </c>
      <c r="I233" s="25">
        <v>0.13891421538494406</v>
      </c>
    </row>
    <row r="234" spans="1:9" x14ac:dyDescent="0.2">
      <c r="A234" s="26"/>
      <c r="C234" s="22"/>
      <c r="G234" s="23">
        <v>1.910439434905328</v>
      </c>
      <c r="H234" s="24">
        <v>0.27268841294015067</v>
      </c>
      <c r="I234" s="25">
        <v>9.0391984323016317E-2</v>
      </c>
    </row>
    <row r="235" spans="1:9" x14ac:dyDescent="0.2">
      <c r="A235" s="26"/>
      <c r="C235" s="22"/>
      <c r="G235" s="23">
        <v>2.1506856478609833</v>
      </c>
      <c r="H235" s="24">
        <v>0.16643472425244724</v>
      </c>
      <c r="I235" s="25">
        <v>3.08900200400767E-2</v>
      </c>
    </row>
    <row r="236" spans="1:9" x14ac:dyDescent="0.2">
      <c r="A236" s="26"/>
      <c r="C236" s="22"/>
      <c r="G236" s="23">
        <v>4.6003581258848376</v>
      </c>
      <c r="H236" s="24">
        <v>0.73208922404869714</v>
      </c>
      <c r="I236" s="25">
        <v>0.13740000349146825</v>
      </c>
    </row>
    <row r="237" spans="1:9" x14ac:dyDescent="0.2">
      <c r="A237" s="26"/>
      <c r="C237" s="22"/>
      <c r="G237" s="23">
        <v>1.9625485971323979</v>
      </c>
      <c r="H237" s="24">
        <v>0.32361866180712878</v>
      </c>
      <c r="I237" s="25">
        <v>0.11394299261875901</v>
      </c>
    </row>
    <row r="238" spans="1:9" x14ac:dyDescent="0.2">
      <c r="A238" s="26"/>
      <c r="C238" s="22"/>
      <c r="G238" s="23">
        <v>2.3408493500000009</v>
      </c>
      <c r="H238" s="24">
        <v>0.42239121479193342</v>
      </c>
      <c r="I238" s="25">
        <v>0.13772403307449801</v>
      </c>
    </row>
    <row r="239" spans="1:9" x14ac:dyDescent="0.2">
      <c r="A239" s="26"/>
      <c r="C239" s="22"/>
      <c r="G239" s="23">
        <v>2.7397983331289759</v>
      </c>
      <c r="H239" s="24">
        <v>0.48921796207976687</v>
      </c>
      <c r="I239" s="25">
        <v>0.14206080640436988</v>
      </c>
    </row>
    <row r="240" spans="1:9" x14ac:dyDescent="0.2">
      <c r="A240" s="26"/>
      <c r="C240" s="22"/>
      <c r="G240" s="23">
        <v>3.8121117056438103</v>
      </c>
      <c r="H240" s="24">
        <v>0.6351982338137474</v>
      </c>
      <c r="I240" s="25">
        <v>0.14039416303863111</v>
      </c>
    </row>
    <row r="241" spans="1:9" x14ac:dyDescent="0.2">
      <c r="A241" s="26"/>
      <c r="C241" s="22"/>
      <c r="G241" s="23">
        <v>2.6114034807850746</v>
      </c>
      <c r="H241" s="24">
        <v>0.46915267369439728</v>
      </c>
      <c r="I241" s="25">
        <v>0.14136179066947618</v>
      </c>
    </row>
    <row r="242" spans="1:9" x14ac:dyDescent="0.2">
      <c r="A242" s="26"/>
      <c r="C242" s="22"/>
      <c r="G242" s="23">
        <v>3.5390649437704336</v>
      </c>
      <c r="H242" s="24">
        <v>0.60023670108764171</v>
      </c>
      <c r="I242" s="25">
        <v>0.14134713760425816</v>
      </c>
    </row>
    <row r="243" spans="1:9" x14ac:dyDescent="0.2">
      <c r="A243" s="26"/>
      <c r="C243" s="22"/>
      <c r="G243" s="23">
        <v>2.7907924827552346</v>
      </c>
      <c r="H243" s="24">
        <v>0.49693109212722303</v>
      </c>
      <c r="I243" s="25">
        <v>0.14222880887411349</v>
      </c>
    </row>
    <row r="244" spans="1:9" x14ac:dyDescent="0.2">
      <c r="A244" s="26"/>
      <c r="C244" s="22"/>
      <c r="G244" s="23">
        <v>2.0056446673806985</v>
      </c>
      <c r="H244" s="24">
        <v>0.34125481328884233</v>
      </c>
      <c r="I244" s="25">
        <v>0.12028791326920163</v>
      </c>
    </row>
    <row r="245" spans="1:9" x14ac:dyDescent="0.2">
      <c r="A245" s="26"/>
      <c r="C245" s="22"/>
      <c r="G245" s="23">
        <v>2.9419359834257683</v>
      </c>
      <c r="H245" s="24">
        <v>0.51911140337432038</v>
      </c>
      <c r="I245" s="25">
        <v>0.14246108829199117</v>
      </c>
    </row>
    <row r="246" spans="1:9" x14ac:dyDescent="0.2">
      <c r="A246" s="26"/>
      <c r="C246" s="22"/>
      <c r="G246" s="23">
        <v>1.9668748376840641</v>
      </c>
      <c r="H246" s="24">
        <v>0.32564452759296397</v>
      </c>
      <c r="I246" s="25">
        <v>0.11472236147397029</v>
      </c>
    </row>
    <row r="247" spans="1:9" x14ac:dyDescent="0.2">
      <c r="A247" s="26"/>
      <c r="C247" s="22"/>
      <c r="G247" s="23">
        <v>3.2691068329173842</v>
      </c>
      <c r="H247" s="24">
        <v>0.56455169487714818</v>
      </c>
      <c r="I247" s="25">
        <v>0.14210355217191278</v>
      </c>
    </row>
    <row r="248" spans="1:9" x14ac:dyDescent="0.2">
      <c r="A248" s="26"/>
      <c r="C248" s="22"/>
      <c r="G248" s="23">
        <v>4.0265917136788243</v>
      </c>
      <c r="H248" s="24">
        <v>0.66206268331716223</v>
      </c>
      <c r="I248" s="25">
        <v>0.13958770140951973</v>
      </c>
    </row>
    <row r="249" spans="1:9" x14ac:dyDescent="0.2">
      <c r="A249" s="26"/>
      <c r="C249" s="22"/>
      <c r="G249" s="23">
        <v>2.3862241694158937</v>
      </c>
      <c r="H249" s="24">
        <v>0.43082004003925639</v>
      </c>
      <c r="I249" s="25">
        <v>0.13863745191639698</v>
      </c>
    </row>
    <row r="250" spans="1:9" x14ac:dyDescent="0.2">
      <c r="A250" s="26"/>
      <c r="C250" s="22"/>
      <c r="G250" s="23">
        <v>2.4042956433314937</v>
      </c>
      <c r="H250" s="24">
        <v>0.43409603782208245</v>
      </c>
      <c r="I250" s="25">
        <v>0.13895796769361887</v>
      </c>
    </row>
    <row r="251" spans="1:9" x14ac:dyDescent="0.2">
      <c r="A251" s="26"/>
      <c r="C251" s="22"/>
      <c r="G251" s="23">
        <v>2.1555745935533119</v>
      </c>
      <c r="H251" s="24">
        <v>0.16527574871822451</v>
      </c>
      <c r="I251" s="25">
        <v>3.028229569198343E-2</v>
      </c>
    </row>
    <row r="252" spans="1:9" x14ac:dyDescent="0.2">
      <c r="A252" s="26"/>
      <c r="C252" s="22"/>
      <c r="G252" s="23">
        <v>2.9811566776049316</v>
      </c>
      <c r="H252" s="24">
        <v>0.52472420950448062</v>
      </c>
      <c r="I252" s="25">
        <v>0.14246960289104596</v>
      </c>
    </row>
    <row r="253" spans="1:9" x14ac:dyDescent="0.2">
      <c r="A253" s="26"/>
      <c r="C253" s="22"/>
      <c r="G253" s="23">
        <v>2.6365756814814199</v>
      </c>
      <c r="H253" s="24">
        <v>0.47316805037643328</v>
      </c>
      <c r="I253" s="25">
        <v>0.14153511750386935</v>
      </c>
    </row>
    <row r="254" spans="1:9" x14ac:dyDescent="0.2">
      <c r="A254" s="26"/>
      <c r="C254" s="22"/>
      <c r="G254" s="23">
        <v>2.1124008232235068</v>
      </c>
      <c r="H254" s="24">
        <v>0.37304265495652789</v>
      </c>
      <c r="I254" s="25">
        <v>0.12925702852631485</v>
      </c>
    </row>
    <row r="255" spans="1:9" x14ac:dyDescent="0.2">
      <c r="A255" s="26"/>
      <c r="C255" s="22"/>
      <c r="G255" s="23">
        <v>2.5980531974266254</v>
      </c>
      <c r="H255" s="24">
        <v>0.46700507342860781</v>
      </c>
      <c r="I255" s="25">
        <v>0.14126156935585871</v>
      </c>
    </row>
    <row r="256" spans="1:9" x14ac:dyDescent="0.2">
      <c r="A256" s="26"/>
      <c r="C256" s="22"/>
      <c r="G256" s="23">
        <v>1.9439047173018211</v>
      </c>
      <c r="H256" s="24">
        <v>0.2351486225616474</v>
      </c>
      <c r="I256" s="25">
        <v>6.9524303258608422E-2</v>
      </c>
    </row>
    <row r="257" spans="1:9" x14ac:dyDescent="0.2">
      <c r="A257" s="26"/>
      <c r="C257" s="22"/>
      <c r="G257" s="23">
        <v>4.5274737723450036</v>
      </c>
      <c r="H257" s="24">
        <v>0.72331338790340749</v>
      </c>
      <c r="I257" s="25">
        <v>0.13767354992107361</v>
      </c>
    </row>
    <row r="258" spans="1:9" x14ac:dyDescent="0.2">
      <c r="A258" s="26"/>
      <c r="C258" s="22"/>
      <c r="G258" s="23">
        <v>2.2562302742241274</v>
      </c>
      <c r="H258" s="24">
        <v>0.40573097809111802</v>
      </c>
      <c r="I258" s="25">
        <v>0.13550521863560078</v>
      </c>
    </row>
    <row r="259" spans="1:9" x14ac:dyDescent="0.2">
      <c r="A259" s="26"/>
      <c r="C259" s="22"/>
      <c r="G259" s="23">
        <v>2.9188684376345191</v>
      </c>
      <c r="H259" s="24">
        <v>0.5157848768109905</v>
      </c>
      <c r="I259" s="25">
        <v>0.14244728195349246</v>
      </c>
    </row>
    <row r="260" spans="1:9" x14ac:dyDescent="0.2">
      <c r="A260" s="26"/>
      <c r="C260" s="22"/>
      <c r="G260" s="23">
        <v>2.6374231096937364</v>
      </c>
      <c r="H260" s="24">
        <v>0.47330248115895407</v>
      </c>
      <c r="I260" s="25">
        <v>0.1415406114767026</v>
      </c>
    </row>
    <row r="261" spans="1:9" x14ac:dyDescent="0.2">
      <c r="A261" s="26"/>
      <c r="C261" s="22"/>
      <c r="G261" s="23">
        <v>2.8032130262911243</v>
      </c>
      <c r="H261" s="24">
        <v>0.49879059306581025</v>
      </c>
      <c r="I261" s="25">
        <v>0.14226196433716137</v>
      </c>
    </row>
    <row r="262" spans="1:9" x14ac:dyDescent="0.2">
      <c r="A262" s="26"/>
      <c r="C262" s="22"/>
      <c r="G262" s="23">
        <v>4.6632879098732287</v>
      </c>
      <c r="H262" s="24">
        <v>0.73964311681215889</v>
      </c>
      <c r="I262" s="25">
        <v>0.13716569246513272</v>
      </c>
    </row>
    <row r="263" spans="1:9" x14ac:dyDescent="0.2">
      <c r="A263" s="26"/>
      <c r="C263" s="22"/>
      <c r="G263" s="23">
        <v>2.2618986069564255</v>
      </c>
      <c r="H263" s="24">
        <v>0.40689228882111805</v>
      </c>
      <c r="I263" s="25">
        <v>0.13567906465265978</v>
      </c>
    </row>
    <row r="264" spans="1:9" x14ac:dyDescent="0.2">
      <c r="A264" s="26"/>
      <c r="C264" s="22"/>
      <c r="G264" s="23">
        <v>2.0006331009436873</v>
      </c>
      <c r="H264" s="24">
        <v>0.20949062783128802</v>
      </c>
      <c r="I264" s="25">
        <v>5.4727988999844997E-2</v>
      </c>
    </row>
    <row r="265" spans="1:9" x14ac:dyDescent="0.2">
      <c r="A265" s="26"/>
      <c r="C265" s="22"/>
      <c r="G265" s="23">
        <v>2.4061858481083891</v>
      </c>
      <c r="H265" s="24">
        <v>0.43443622895376033</v>
      </c>
      <c r="I265" s="25">
        <v>0.13899018969235463</v>
      </c>
    </row>
    <row r="266" spans="1:9" x14ac:dyDescent="0.2">
      <c r="A266" s="26"/>
      <c r="C266" s="22"/>
      <c r="G266" s="23">
        <v>2.3427277529614616</v>
      </c>
      <c r="H266" s="24">
        <v>0.42274635921875331</v>
      </c>
      <c r="I266" s="25">
        <v>0.13776520012649821</v>
      </c>
    </row>
    <row r="267" spans="1:9" x14ac:dyDescent="0.2">
      <c r="A267" s="26"/>
      <c r="C267" s="22"/>
      <c r="G267" s="23">
        <v>2.0288341983124054</v>
      </c>
      <c r="H267" s="24">
        <v>0.19976197933793988</v>
      </c>
      <c r="I267" s="25">
        <v>4.9172070310529205E-2</v>
      </c>
    </row>
    <row r="268" spans="1:9" x14ac:dyDescent="0.2">
      <c r="A268" s="26"/>
      <c r="C268" s="22"/>
      <c r="G268" s="23">
        <v>1.9309060565486023</v>
      </c>
      <c r="H268" s="24">
        <v>0.2437494101878985</v>
      </c>
      <c r="I268" s="25">
        <v>7.444660925385839E-2</v>
      </c>
    </row>
    <row r="269" spans="1:9" x14ac:dyDescent="0.2">
      <c r="A269" s="26"/>
      <c r="C269" s="22"/>
      <c r="G269" s="23">
        <v>2.8576306229715094</v>
      </c>
      <c r="H269" s="24">
        <v>0.50685573677310203</v>
      </c>
      <c r="I269" s="25">
        <v>0.14237520133372475</v>
      </c>
    </row>
    <row r="270" spans="1:9" x14ac:dyDescent="0.2">
      <c r="A270" s="26"/>
      <c r="C270" s="22"/>
      <c r="G270" s="23">
        <v>3.3879894611756165</v>
      </c>
      <c r="H270" s="24">
        <v>0.58042838930785057</v>
      </c>
      <c r="I270" s="25">
        <v>0.14180338909644308</v>
      </c>
    </row>
    <row r="271" spans="1:9" x14ac:dyDescent="0.2">
      <c r="A271" s="26"/>
      <c r="C271" s="22"/>
      <c r="G271" s="23">
        <v>2.8735967907015953</v>
      </c>
      <c r="H271" s="24">
        <v>0.50919810177616953</v>
      </c>
      <c r="I271" s="25">
        <v>0.14239927522543855</v>
      </c>
    </row>
    <row r="272" spans="1:9" x14ac:dyDescent="0.2">
      <c r="A272" s="26"/>
      <c r="C272" s="22"/>
      <c r="G272" s="23">
        <v>3.0192638456185197</v>
      </c>
      <c r="H272" s="24">
        <v>0.53012855229540201</v>
      </c>
      <c r="I272" s="25">
        <v>0.14246139880404216</v>
      </c>
    </row>
    <row r="273" spans="1:9" x14ac:dyDescent="0.2">
      <c r="A273" s="26"/>
      <c r="C273" s="22"/>
      <c r="G273" s="23">
        <v>4.3450345217080439</v>
      </c>
      <c r="H273" s="24">
        <v>0.70120767552958929</v>
      </c>
      <c r="I273" s="25">
        <v>0.13836660469227685</v>
      </c>
    </row>
    <row r="274" spans="1:9" x14ac:dyDescent="0.2">
      <c r="A274" s="26"/>
      <c r="C274" s="22"/>
      <c r="G274" s="23">
        <v>1.9108187119958557</v>
      </c>
      <c r="H274" s="24">
        <v>0.26993677574610991</v>
      </c>
      <c r="I274" s="25">
        <v>8.8934011996613924E-2</v>
      </c>
    </row>
    <row r="275" spans="1:9" x14ac:dyDescent="0.2">
      <c r="A275" s="26"/>
      <c r="C275" s="22"/>
      <c r="G275" s="23">
        <v>2.444897714370343</v>
      </c>
      <c r="H275" s="24">
        <v>0.44130720751593117</v>
      </c>
      <c r="I275" s="25">
        <v>0.13959978939802603</v>
      </c>
    </row>
    <row r="276" spans="1:9" x14ac:dyDescent="0.2">
      <c r="A276" s="26"/>
      <c r="C276" s="22"/>
      <c r="G276" s="23">
        <v>2.0863209610688092</v>
      </c>
      <c r="H276" s="24">
        <v>0.36616132614156077</v>
      </c>
      <c r="I276" s="25">
        <v>0.12757448619750811</v>
      </c>
    </row>
    <row r="277" spans="1:9" x14ac:dyDescent="0.2">
      <c r="A277" s="26"/>
      <c r="C277" s="22"/>
      <c r="G277" s="23">
        <v>5.1528564880807934</v>
      </c>
      <c r="H277" s="24">
        <v>0.79777628260300959</v>
      </c>
      <c r="I277" s="25">
        <v>0.13541543078619364</v>
      </c>
    </row>
    <row r="278" spans="1:9" x14ac:dyDescent="0.2">
      <c r="A278" s="26"/>
      <c r="C278" s="22"/>
      <c r="G278" s="23">
        <v>3.2711478826146942</v>
      </c>
      <c r="H278" s="24">
        <v>0.56482668944107872</v>
      </c>
      <c r="I278" s="25">
        <v>0.14209895260969288</v>
      </c>
    </row>
    <row r="279" spans="1:9" x14ac:dyDescent="0.2">
      <c r="A279" s="26"/>
      <c r="C279" s="22"/>
      <c r="G279" s="23">
        <v>1.938745650211505</v>
      </c>
      <c r="H279" s="24">
        <v>0.31060026414894948</v>
      </c>
      <c r="I279" s="25">
        <v>0.10862707165112566</v>
      </c>
    </row>
    <row r="280" spans="1:9" x14ac:dyDescent="0.2">
      <c r="A280" s="26"/>
      <c r="C280" s="22"/>
      <c r="G280" s="23">
        <v>2.6393430703146241</v>
      </c>
      <c r="H280" s="24">
        <v>0.47360687567950821</v>
      </c>
      <c r="I280" s="25">
        <v>0.14155297899369182</v>
      </c>
    </row>
    <row r="281" spans="1:9" x14ac:dyDescent="0.2">
      <c r="A281" s="26"/>
      <c r="C281" s="22"/>
      <c r="G281" s="23">
        <v>5.2770779808817663</v>
      </c>
      <c r="H281" s="24">
        <v>0.81237497965892824</v>
      </c>
      <c r="I281" s="25">
        <v>0.13499421095342215</v>
      </c>
    </row>
    <row r="282" spans="1:9" x14ac:dyDescent="0.2">
      <c r="A282" s="26"/>
      <c r="C282" s="22"/>
      <c r="G282" s="23">
        <v>2.306591509753384</v>
      </c>
      <c r="H282" s="24">
        <v>0.41581004560122259</v>
      </c>
      <c r="I282" s="25">
        <v>0.13691632990744521</v>
      </c>
    </row>
    <row r="283" spans="1:9" x14ac:dyDescent="0.2">
      <c r="A283" s="26"/>
      <c r="C283" s="22"/>
      <c r="G283" s="23">
        <v>2.2713884740540595</v>
      </c>
      <c r="H283" s="24">
        <v>0.14010290945727277</v>
      </c>
      <c r="I283" s="25">
        <v>1.7655679961948331E-2</v>
      </c>
    </row>
    <row r="284" spans="1:9" x14ac:dyDescent="0.2">
      <c r="A284" s="26"/>
      <c r="C284" s="22"/>
      <c r="G284" s="23">
        <v>1.9104444663505842</v>
      </c>
      <c r="H284" s="24">
        <v>0.27262473842780705</v>
      </c>
      <c r="I284" s="25">
        <v>9.0358416576979267E-2</v>
      </c>
    </row>
    <row r="285" spans="1:9" x14ac:dyDescent="0.2">
      <c r="A285" s="26"/>
      <c r="C285" s="22"/>
      <c r="G285" s="23">
        <v>2.3501781562043331</v>
      </c>
      <c r="H285" s="24">
        <v>0.4241494635173787</v>
      </c>
      <c r="I285" s="25">
        <v>0.13792548499845722</v>
      </c>
    </row>
    <row r="286" spans="1:9" x14ac:dyDescent="0.2">
      <c r="A286" s="26"/>
      <c r="C286" s="22"/>
      <c r="G286" s="23">
        <v>2.3709118202490331</v>
      </c>
      <c r="H286" s="24">
        <v>0.42800942270767917</v>
      </c>
      <c r="I286" s="25">
        <v>0.13834737269271785</v>
      </c>
    </row>
    <row r="287" spans="1:9" x14ac:dyDescent="0.2">
      <c r="A287" s="26"/>
      <c r="C287" s="22"/>
      <c r="G287" s="23">
        <v>3.3766875819319337</v>
      </c>
      <c r="H287" s="24">
        <v>0.57893076742412664</v>
      </c>
      <c r="I287" s="25">
        <v>0.14183449143968352</v>
      </c>
    </row>
    <row r="288" spans="1:9" x14ac:dyDescent="0.2">
      <c r="A288" s="26"/>
      <c r="C288" s="22"/>
      <c r="G288" s="23">
        <v>2.4583765620622171</v>
      </c>
      <c r="H288" s="24">
        <v>0.44365894490415858</v>
      </c>
      <c r="I288" s="25">
        <v>0.13979101034292446</v>
      </c>
    </row>
    <row r="289" spans="1:9" x14ac:dyDescent="0.2">
      <c r="A289" s="26"/>
      <c r="C289" s="22"/>
      <c r="G289" s="23">
        <v>3.2591461201374647</v>
      </c>
      <c r="H289" s="24">
        <v>0.56320838639259962</v>
      </c>
      <c r="I289" s="25">
        <v>0.14212568808757375</v>
      </c>
    </row>
    <row r="290" spans="1:9" x14ac:dyDescent="0.2">
      <c r="A290" s="26"/>
      <c r="C290" s="22"/>
      <c r="G290" s="23">
        <v>4.3168940192475533</v>
      </c>
      <c r="H290" s="24">
        <v>0.69777889522874947</v>
      </c>
      <c r="I290" s="25">
        <v>0.13847430376408174</v>
      </c>
    </row>
    <row r="291" spans="1:9" x14ac:dyDescent="0.2">
      <c r="A291" s="26"/>
      <c r="C291" s="22"/>
      <c r="G291" s="23">
        <v>2.3407231198670546</v>
      </c>
      <c r="H291" s="24">
        <v>0.42236732846196423</v>
      </c>
      <c r="I291" s="25">
        <v>0.1377212555537784</v>
      </c>
    </row>
    <row r="292" spans="1:9" x14ac:dyDescent="0.2">
      <c r="A292" s="26"/>
      <c r="C292" s="22"/>
      <c r="G292" s="23">
        <v>3.0020935348807694</v>
      </c>
      <c r="H292" s="24">
        <v>0.52769925449144528</v>
      </c>
      <c r="I292" s="25">
        <v>0.1424669977906986</v>
      </c>
    </row>
    <row r="293" spans="1:9" x14ac:dyDescent="0.2">
      <c r="A293" s="26"/>
      <c r="C293" s="22"/>
      <c r="G293" s="23">
        <v>2.4567098764391702</v>
      </c>
      <c r="H293" s="24">
        <v>0.44336922525213612</v>
      </c>
      <c r="I293" s="25">
        <v>0.13976791767520785</v>
      </c>
    </row>
    <row r="294" spans="1:9" x14ac:dyDescent="0.2">
      <c r="A294" s="26"/>
      <c r="C294" s="22"/>
      <c r="G294" s="23">
        <v>2.1072810425776236</v>
      </c>
      <c r="H294" s="24">
        <v>0.37172358522293042</v>
      </c>
      <c r="I294" s="25">
        <v>0.12894510900190245</v>
      </c>
    </row>
    <row r="295" spans="1:9" x14ac:dyDescent="0.2">
      <c r="A295" s="26"/>
      <c r="C295" s="22"/>
      <c r="G295" s="23">
        <v>2.7266486221254032</v>
      </c>
      <c r="H295" s="24">
        <v>0.48720735276667138</v>
      </c>
      <c r="I295" s="25">
        <v>0.14200852582711221</v>
      </c>
    </row>
    <row r="296" spans="1:9" x14ac:dyDescent="0.2">
      <c r="A296" s="26"/>
      <c r="C296" s="22"/>
      <c r="G296" s="23">
        <v>4.1954039817901165</v>
      </c>
      <c r="H296" s="24">
        <v>0.68291166278644866</v>
      </c>
      <c r="I296" s="25">
        <v>0.13894053202657561</v>
      </c>
    </row>
    <row r="297" spans="1:9" x14ac:dyDescent="0.2">
      <c r="A297" s="26"/>
      <c r="C297" s="22"/>
      <c r="G297" s="23">
        <v>4.9181915878777955</v>
      </c>
      <c r="H297" s="24">
        <v>0.77004062773437343</v>
      </c>
      <c r="I297" s="25">
        <v>0.1362371949673031</v>
      </c>
    </row>
    <row r="298" spans="1:9" x14ac:dyDescent="0.2">
      <c r="A298" s="26"/>
      <c r="C298" s="22"/>
      <c r="G298" s="23">
        <v>1.9105123653699307</v>
      </c>
      <c r="H298" s="24">
        <v>0.27700662403113352</v>
      </c>
      <c r="I298" s="25">
        <v>9.2648770952468429E-2</v>
      </c>
    </row>
    <row r="299" spans="1:9" x14ac:dyDescent="0.2">
      <c r="A299" s="26"/>
      <c r="C299" s="22"/>
      <c r="G299" s="23">
        <v>4.1793513584997601</v>
      </c>
      <c r="H299" s="24">
        <v>0.68093904162374486</v>
      </c>
      <c r="I299" s="25">
        <v>0.13900220161009993</v>
      </c>
    </row>
    <row r="300" spans="1:9" x14ac:dyDescent="0.2">
      <c r="A300" s="26"/>
      <c r="C300" s="22"/>
      <c r="G300" s="23">
        <v>2.420451326384542</v>
      </c>
      <c r="H300" s="24">
        <v>0.43698918280985954</v>
      </c>
      <c r="I300" s="25">
        <v>0.13922576242138623</v>
      </c>
    </row>
    <row r="301" spans="1:9" x14ac:dyDescent="0.2">
      <c r="A301" s="26"/>
      <c r="C301" s="22"/>
      <c r="G301" s="23">
        <v>4.142584864585892</v>
      </c>
      <c r="H301" s="24">
        <v>0.6764134110212966</v>
      </c>
      <c r="I301" s="25">
        <v>0.13914341609723446</v>
      </c>
    </row>
    <row r="302" spans="1:9" x14ac:dyDescent="0.2">
      <c r="A302" s="26"/>
      <c r="C302" s="22"/>
      <c r="G302" s="23">
        <v>1.9484706572248276</v>
      </c>
      <c r="H302" s="24">
        <v>0.31639058941078535</v>
      </c>
      <c r="I302" s="25">
        <v>0.11105663157836337</v>
      </c>
    </row>
    <row r="303" spans="1:9" x14ac:dyDescent="0.2">
      <c r="A303" s="26"/>
      <c r="C303" s="22"/>
      <c r="G303" s="23">
        <v>2.5210259165580715</v>
      </c>
      <c r="H303" s="24">
        <v>0.45434488497259184</v>
      </c>
      <c r="I303" s="25">
        <v>0.14055582735391267</v>
      </c>
    </row>
    <row r="304" spans="1:9" x14ac:dyDescent="0.2">
      <c r="A304" s="26"/>
      <c r="C304" s="22"/>
      <c r="G304" s="23">
        <v>3.7465792922928443</v>
      </c>
      <c r="H304" s="24">
        <v>0.62689293118028988</v>
      </c>
      <c r="I304" s="25">
        <v>0.14063306514666718</v>
      </c>
    </row>
    <row r="305" spans="1:9" x14ac:dyDescent="0.2">
      <c r="A305" s="26"/>
      <c r="C305" s="22"/>
      <c r="G305" s="23">
        <v>2.8397111124257655</v>
      </c>
      <c r="H305" s="24">
        <v>0.5042141604935233</v>
      </c>
      <c r="I305" s="25">
        <v>0.14234340853711541</v>
      </c>
    </row>
    <row r="306" spans="1:9" x14ac:dyDescent="0.2">
      <c r="A306" s="26"/>
      <c r="C306" s="22"/>
      <c r="G306" s="23">
        <v>4.2484105119322413</v>
      </c>
      <c r="H306" s="24">
        <v>0.68941148896002491</v>
      </c>
      <c r="I306" s="25">
        <v>0.13873694310247706</v>
      </c>
    </row>
    <row r="307" spans="1:9" x14ac:dyDescent="0.2">
      <c r="A307" s="26"/>
      <c r="C307" s="22"/>
      <c r="G307" s="23">
        <v>2.2533411550876998</v>
      </c>
      <c r="H307" s="24">
        <v>0.40513622461123383</v>
      </c>
      <c r="I307" s="25">
        <v>0.13541501358201655</v>
      </c>
    </row>
    <row r="308" spans="1:9" x14ac:dyDescent="0.2">
      <c r="A308" s="26"/>
      <c r="C308" s="22"/>
      <c r="G308" s="23">
        <v>3.34113991240643</v>
      </c>
      <c r="H308" s="24">
        <v>0.57420475390154557</v>
      </c>
      <c r="I308" s="25">
        <v>0.14192903166090018</v>
      </c>
    </row>
    <row r="309" spans="1:9" x14ac:dyDescent="0.2">
      <c r="A309" s="26"/>
      <c r="C309" s="22"/>
      <c r="G309" s="23">
        <v>2.5904136277377181</v>
      </c>
      <c r="H309" s="24">
        <v>0.46577029630820593</v>
      </c>
      <c r="I309" s="25">
        <v>0.14120150191516997</v>
      </c>
    </row>
    <row r="310" spans="1:9" x14ac:dyDescent="0.2">
      <c r="A310" s="26"/>
      <c r="C310" s="22"/>
      <c r="G310" s="23">
        <v>3.6636853974124963</v>
      </c>
      <c r="H310" s="24">
        <v>0.61631345518573255</v>
      </c>
      <c r="I310" s="25">
        <v>0.14092734437849561</v>
      </c>
    </row>
    <row r="311" spans="1:9" x14ac:dyDescent="0.2">
      <c r="A311" s="26"/>
      <c r="C311" s="22"/>
      <c r="G311" s="23">
        <v>2.3941091553970479</v>
      </c>
      <c r="H311" s="24">
        <v>0.43225475134545549</v>
      </c>
      <c r="I311" s="25">
        <v>0.13878011748392358</v>
      </c>
    </row>
    <row r="312" spans="1:9" x14ac:dyDescent="0.2">
      <c r="A312" s="26"/>
      <c r="C312" s="22"/>
      <c r="G312" s="23">
        <v>3.1676357831089188</v>
      </c>
      <c r="H312" s="24">
        <v>0.55076257769566006</v>
      </c>
      <c r="I312" s="25">
        <v>0.14230252689061901</v>
      </c>
    </row>
    <row r="313" spans="1:9" x14ac:dyDescent="0.2">
      <c r="A313" s="26"/>
      <c r="C313" s="22"/>
      <c r="G313" s="23">
        <v>1.9625266882055821</v>
      </c>
      <c r="H313" s="24">
        <v>0.32360820149518205</v>
      </c>
      <c r="I313" s="25">
        <v>0.11393893461368415</v>
      </c>
    </row>
    <row r="314" spans="1:9" x14ac:dyDescent="0.2">
      <c r="A314" s="26"/>
      <c r="C314" s="22"/>
      <c r="G314" s="23">
        <v>2.9551676134355147</v>
      </c>
      <c r="H314" s="24">
        <v>0.52101090261565108</v>
      </c>
      <c r="I314" s="25">
        <v>0.14246599726236542</v>
      </c>
    </row>
    <row r="315" spans="1:9" x14ac:dyDescent="0.2">
      <c r="A315" s="26"/>
      <c r="C315" s="22"/>
      <c r="G315" s="23">
        <v>2.4300420947358625</v>
      </c>
      <c r="H315" s="24">
        <v>0.43869157005019499</v>
      </c>
      <c r="I315" s="25">
        <v>0.13937683190500183</v>
      </c>
    </row>
    <row r="316" spans="1:9" x14ac:dyDescent="0.2">
      <c r="A316" s="26"/>
      <c r="C316" s="22"/>
      <c r="G316" s="23">
        <v>2.4622677516057987</v>
      </c>
      <c r="H316" s="24">
        <v>0.44433418735922475</v>
      </c>
      <c r="I316" s="25">
        <v>0.13984433075750871</v>
      </c>
    </row>
    <row r="317" spans="1:9" x14ac:dyDescent="0.2">
      <c r="A317" s="26"/>
      <c r="C317" s="22"/>
      <c r="G317" s="23">
        <v>2.1279354841588956</v>
      </c>
      <c r="H317" s="24">
        <v>0.1719634973359189</v>
      </c>
      <c r="I317" s="25">
        <v>3.3818457552648798E-2</v>
      </c>
    </row>
    <row r="318" spans="1:9" x14ac:dyDescent="0.2">
      <c r="A318" s="26"/>
      <c r="C318" s="22"/>
      <c r="G318" s="23">
        <v>3.8259343640121277</v>
      </c>
      <c r="H318" s="24">
        <v>0.63694384945505489</v>
      </c>
      <c r="I318" s="25">
        <v>0.14034319381314841</v>
      </c>
    </row>
    <row r="319" spans="1:9" x14ac:dyDescent="0.2">
      <c r="A319" s="26"/>
      <c r="C319" s="22"/>
      <c r="G319" s="23">
        <v>1.9120674230330232</v>
      </c>
      <c r="H319" s="24">
        <v>0.28326832014745251</v>
      </c>
      <c r="I319" s="25">
        <v>9.5848251191177361E-2</v>
      </c>
    </row>
    <row r="320" spans="1:9" x14ac:dyDescent="0.2">
      <c r="A320" s="26"/>
      <c r="C320" s="22"/>
      <c r="G320" s="23">
        <v>3.5949228341382784</v>
      </c>
      <c r="H320" s="24">
        <v>0.60746970854996052</v>
      </c>
      <c r="I320" s="25">
        <v>0.14116289291129874</v>
      </c>
    </row>
    <row r="321" spans="1:9" x14ac:dyDescent="0.2">
      <c r="A321" s="26"/>
      <c r="C321" s="22"/>
      <c r="G321" s="23">
        <v>2.1402005378135294</v>
      </c>
      <c r="H321" s="24">
        <v>0.37996926636303685</v>
      </c>
      <c r="I321" s="25">
        <v>0.13081450075652387</v>
      </c>
    </row>
    <row r="322" spans="1:9" x14ac:dyDescent="0.2">
      <c r="A322" s="26"/>
      <c r="C322" s="22"/>
      <c r="G322" s="23">
        <v>2.2074215117757876</v>
      </c>
      <c r="H322" s="24">
        <v>0.39540166348566003</v>
      </c>
      <c r="I322" s="25">
        <v>0.13382204550407972</v>
      </c>
    </row>
    <row r="323" spans="1:9" x14ac:dyDescent="0.2">
      <c r="A323" s="26"/>
      <c r="C323" s="22"/>
      <c r="G323" s="23">
        <v>3.9332889418024881</v>
      </c>
      <c r="H323" s="24">
        <v>0.65043225294096785</v>
      </c>
      <c r="I323" s="25">
        <v>0.13994198229398525</v>
      </c>
    </row>
    <row r="324" spans="1:9" x14ac:dyDescent="0.2">
      <c r="A324" s="26"/>
      <c r="C324" s="22"/>
      <c r="G324" s="23">
        <v>4.0237704761470861</v>
      </c>
      <c r="H324" s="24">
        <v>0.66171218896482997</v>
      </c>
      <c r="I324" s="25">
        <v>0.13959846636495399</v>
      </c>
    </row>
    <row r="325" spans="1:9" x14ac:dyDescent="0.2">
      <c r="A325" s="26"/>
      <c r="C325" s="22"/>
      <c r="G325" s="23">
        <v>4.103543287805282</v>
      </c>
      <c r="H325" s="24">
        <v>0.67159583690939562</v>
      </c>
      <c r="I325" s="25">
        <v>0.13929323887429707</v>
      </c>
    </row>
    <row r="326" spans="1:9" x14ac:dyDescent="0.2">
      <c r="A326" s="26"/>
      <c r="C326" s="22"/>
      <c r="G326" s="23">
        <v>3.5167619974804016</v>
      </c>
      <c r="H326" s="24">
        <v>0.59733572062413887</v>
      </c>
      <c r="I326" s="25">
        <v>0.14141864575718827</v>
      </c>
    </row>
    <row r="327" spans="1:9" x14ac:dyDescent="0.2">
      <c r="A327" s="26"/>
      <c r="C327" s="22"/>
      <c r="G327" s="23">
        <v>3.8380911412702496</v>
      </c>
      <c r="H327" s="24">
        <v>0.63847735555569562</v>
      </c>
      <c r="I327" s="25">
        <v>0.14029821967369063</v>
      </c>
    </row>
    <row r="328" spans="1:9" x14ac:dyDescent="0.2">
      <c r="A328" s="26"/>
      <c r="C328" s="22"/>
      <c r="G328" s="23">
        <v>4.3572091890947497</v>
      </c>
      <c r="H328" s="24">
        <v>0.70268944279748258</v>
      </c>
      <c r="I328" s="25">
        <v>0.13832006111062589</v>
      </c>
    </row>
    <row r="329" spans="1:9" x14ac:dyDescent="0.2">
      <c r="A329" s="26"/>
      <c r="C329" s="22"/>
      <c r="G329" s="23">
        <v>4.2703041192158171</v>
      </c>
      <c r="H329" s="24">
        <v>0.69209010691379103</v>
      </c>
      <c r="I329" s="25">
        <v>0.13865291297623181</v>
      </c>
    </row>
    <row r="330" spans="1:9" x14ac:dyDescent="0.2">
      <c r="A330" s="26"/>
      <c r="C330" s="22"/>
      <c r="G330" s="23">
        <v>2.7798708723140853</v>
      </c>
      <c r="H330" s="24">
        <v>0.49528996369585565</v>
      </c>
      <c r="I330" s="25">
        <v>0.14219723877918222</v>
      </c>
    </row>
    <row r="331" spans="1:9" x14ac:dyDescent="0.2">
      <c r="A331" s="26"/>
      <c r="C331" s="22"/>
      <c r="G331" s="23">
        <v>5.121456507986788</v>
      </c>
      <c r="H331" s="24">
        <v>0.79407739354279228</v>
      </c>
      <c r="I331" s="25">
        <v>0.13552343771157271</v>
      </c>
    </row>
    <row r="332" spans="1:9" x14ac:dyDescent="0.2">
      <c r="A332" s="26"/>
      <c r="C332" s="22"/>
      <c r="G332" s="23">
        <v>3.6930640353388928</v>
      </c>
      <c r="H332" s="24">
        <v>0.62007280546871235</v>
      </c>
      <c r="I332" s="25">
        <v>0.14082420423854686</v>
      </c>
    </row>
    <row r="333" spans="1:9" x14ac:dyDescent="0.2">
      <c r="A333" s="26"/>
      <c r="C333" s="22"/>
      <c r="G333" s="23">
        <v>2.0081040296641066</v>
      </c>
      <c r="H333" s="24">
        <v>0.34213264416052197</v>
      </c>
      <c r="I333" s="25">
        <v>0.12057773855018214</v>
      </c>
    </row>
    <row r="334" spans="1:9" x14ac:dyDescent="0.2">
      <c r="A334" s="26"/>
      <c r="C334" s="22"/>
      <c r="G334" s="23">
        <v>2.2626471964037496</v>
      </c>
      <c r="H334" s="24">
        <v>0.40704511377278868</v>
      </c>
      <c r="I334" s="25">
        <v>0.13570171822221774</v>
      </c>
    </row>
    <row r="335" spans="1:9" x14ac:dyDescent="0.2">
      <c r="A335" s="26"/>
      <c r="C335" s="22"/>
      <c r="G335" s="23">
        <v>3.1560277034393849</v>
      </c>
      <c r="H335" s="24">
        <v>0.54916958039393671</v>
      </c>
      <c r="I335" s="25">
        <v>0.14232117747709352</v>
      </c>
    </row>
    <row r="336" spans="1:9" x14ac:dyDescent="0.2">
      <c r="A336" s="26"/>
      <c r="C336" s="22"/>
      <c r="G336" s="23">
        <v>4.0249692350256616</v>
      </c>
      <c r="H336" s="24">
        <v>0.66186112461211044</v>
      </c>
      <c r="I336" s="25">
        <v>0.13959389260236474</v>
      </c>
    </row>
    <row r="337" spans="1:9" x14ac:dyDescent="0.2">
      <c r="A337" s="26"/>
      <c r="C337" s="22"/>
      <c r="G337" s="23">
        <v>3.9005368423300943</v>
      </c>
      <c r="H337" s="24">
        <v>0.64632974347524097</v>
      </c>
      <c r="I337" s="25">
        <v>0.14006526897942581</v>
      </c>
    </row>
    <row r="338" spans="1:9" x14ac:dyDescent="0.2">
      <c r="A338" s="26"/>
      <c r="C338" s="22"/>
      <c r="G338" s="23">
        <v>2.6887322614033908</v>
      </c>
      <c r="H338" s="24">
        <v>0.48135645156683998</v>
      </c>
      <c r="I338" s="25">
        <v>0.14183504082986451</v>
      </c>
    </row>
    <row r="339" spans="1:9" x14ac:dyDescent="0.2">
      <c r="A339" s="26"/>
      <c r="C339" s="22"/>
      <c r="G339" s="23">
        <v>2.7622264899637869</v>
      </c>
      <c r="H339" s="24">
        <v>0.49262637301410767</v>
      </c>
      <c r="I339" s="25">
        <v>0.14214126645680633</v>
      </c>
    </row>
    <row r="340" spans="1:9" x14ac:dyDescent="0.2">
      <c r="A340" s="26"/>
      <c r="C340" s="22"/>
      <c r="G340" s="23">
        <v>2.5723026857801292</v>
      </c>
      <c r="H340" s="24">
        <v>0.46282550394346816</v>
      </c>
      <c r="I340" s="25">
        <v>0.14105085861748581</v>
      </c>
    </row>
    <row r="341" spans="1:9" x14ac:dyDescent="0.2">
      <c r="A341" s="26"/>
      <c r="C341" s="22"/>
      <c r="G341" s="23">
        <v>2.0477177967031772</v>
      </c>
      <c r="H341" s="24">
        <v>0.3550876424012725</v>
      </c>
      <c r="I341" s="25">
        <v>0.1245716774654433</v>
      </c>
    </row>
    <row r="342" spans="1:9" x14ac:dyDescent="0.2">
      <c r="A342" s="26"/>
      <c r="C342" s="22"/>
      <c r="G342" s="23">
        <v>2.569052225361466</v>
      </c>
      <c r="H342" s="24">
        <v>0.46229431109478214</v>
      </c>
      <c r="I342" s="25">
        <v>0.14102255533310193</v>
      </c>
    </row>
    <row r="343" spans="1:9" x14ac:dyDescent="0.2">
      <c r="A343" s="26"/>
      <c r="C343" s="22"/>
      <c r="G343" s="23">
        <v>2.2954313500635184</v>
      </c>
      <c r="H343" s="24">
        <v>0.4136206744983475</v>
      </c>
      <c r="I343" s="25">
        <v>0.13662820846267215</v>
      </c>
    </row>
    <row r="344" spans="1:9" x14ac:dyDescent="0.2">
      <c r="A344" s="26"/>
      <c r="C344" s="22"/>
      <c r="G344" s="23">
        <v>1.9501395131894217</v>
      </c>
      <c r="H344" s="24">
        <v>0.31730829365954183</v>
      </c>
      <c r="I344" s="25">
        <v>0.11143217739023271</v>
      </c>
    </row>
    <row r="345" spans="1:9" x14ac:dyDescent="0.2">
      <c r="A345" s="26"/>
      <c r="C345" s="22"/>
      <c r="G345" s="23">
        <v>2.5563111038991257</v>
      </c>
      <c r="H345" s="24">
        <v>0.46020405763927669</v>
      </c>
      <c r="I345" s="25">
        <v>0.14090775398962338</v>
      </c>
    </row>
    <row r="346" spans="1:9" x14ac:dyDescent="0.2">
      <c r="A346" s="26"/>
      <c r="C346" s="22"/>
      <c r="G346" s="23">
        <v>5.0257596239454836</v>
      </c>
      <c r="H346" s="24">
        <v>0.78278142974829679</v>
      </c>
      <c r="I346" s="25">
        <v>0.13585636388279185</v>
      </c>
    </row>
    <row r="347" spans="1:9" x14ac:dyDescent="0.2">
      <c r="A347" s="26"/>
      <c r="C347" s="22"/>
      <c r="G347" s="23">
        <v>3.8667180261234906</v>
      </c>
      <c r="H347" s="24">
        <v>0.64208218929225658</v>
      </c>
      <c r="I347" s="25">
        <v>0.14019180714493301</v>
      </c>
    </row>
    <row r="348" spans="1:9" x14ac:dyDescent="0.2">
      <c r="A348" s="26"/>
      <c r="C348" s="22"/>
      <c r="G348" s="23">
        <v>4.3005086618317367</v>
      </c>
      <c r="H348" s="24">
        <v>0.69577991989892929</v>
      </c>
      <c r="I348" s="25">
        <v>0.13853708136819556</v>
      </c>
    </row>
    <row r="349" spans="1:9" x14ac:dyDescent="0.2">
      <c r="A349" s="26"/>
      <c r="C349" s="22"/>
      <c r="G349" s="23">
        <v>2.1123648285684036</v>
      </c>
      <c r="H349" s="24">
        <v>0.37303343174155762</v>
      </c>
      <c r="I349" s="25">
        <v>0.12925486476523201</v>
      </c>
    </row>
    <row r="350" spans="1:9" x14ac:dyDescent="0.2">
      <c r="A350" s="26"/>
      <c r="C350" s="22"/>
      <c r="G350" s="23">
        <v>1.9597755627516593</v>
      </c>
      <c r="H350" s="24">
        <v>0.2266459237272884</v>
      </c>
      <c r="I350" s="25">
        <v>6.4622666311520235E-2</v>
      </c>
    </row>
    <row r="351" spans="1:9" x14ac:dyDescent="0.2">
      <c r="A351" s="26"/>
      <c r="C351" s="22"/>
      <c r="G351" s="23">
        <v>3.2377037288586052</v>
      </c>
      <c r="H351" s="24">
        <v>0.56030931343685131</v>
      </c>
      <c r="I351" s="25">
        <v>0.1421715359079532</v>
      </c>
    </row>
    <row r="352" spans="1:9" x14ac:dyDescent="0.2">
      <c r="A352" s="26"/>
      <c r="C352" s="22"/>
      <c r="G352" s="23">
        <v>2.9434160768668165</v>
      </c>
      <c r="H352" s="24">
        <v>0.5193241890935324</v>
      </c>
      <c r="I352" s="25">
        <v>0.14246174399161909</v>
      </c>
    </row>
    <row r="353" spans="1:9" x14ac:dyDescent="0.2">
      <c r="A353" s="26"/>
      <c r="G353" s="23">
        <v>4.0556236508387586</v>
      </c>
      <c r="H353" s="24">
        <v>0.66566533545415674</v>
      </c>
      <c r="I353" s="25">
        <v>0.13947678154186058</v>
      </c>
    </row>
    <row r="354" spans="1:9" x14ac:dyDescent="0.2">
      <c r="A354" s="26"/>
      <c r="G354" s="23">
        <v>2.152060359930295</v>
      </c>
      <c r="H354" s="24">
        <v>0.16610784818118962</v>
      </c>
      <c r="I354" s="25">
        <v>3.0718398016129404E-2</v>
      </c>
    </row>
    <row r="355" spans="1:9" x14ac:dyDescent="0.2">
      <c r="A355" s="26"/>
      <c r="G355" s="23">
        <v>2.0502684370250268</v>
      </c>
      <c r="H355" s="24">
        <v>0.19306433083535618</v>
      </c>
      <c r="I355" s="25">
        <v>4.5391290069449607E-2</v>
      </c>
    </row>
    <row r="356" spans="1:9" x14ac:dyDescent="0.2">
      <c r="A356" s="26"/>
      <c r="G356" s="23">
        <v>2.6585598238678374</v>
      </c>
      <c r="H356" s="24">
        <v>0.47664030254597012</v>
      </c>
      <c r="I356" s="25">
        <v>0.14167080148976838</v>
      </c>
    </row>
    <row r="357" spans="1:9" x14ac:dyDescent="0.2">
      <c r="A357" s="26"/>
      <c r="G357" s="23">
        <v>4.2247941677089225</v>
      </c>
      <c r="H357" s="24">
        <v>0.6865181721855782</v>
      </c>
      <c r="I357" s="25">
        <v>0.13882763216687713</v>
      </c>
    </row>
    <row r="358" spans="1:9" x14ac:dyDescent="0.2">
      <c r="A358" s="26"/>
      <c r="G358" s="23">
        <v>2.127068487493299</v>
      </c>
      <c r="H358" s="24">
        <v>0.37674447518569404</v>
      </c>
      <c r="I358" s="25">
        <v>0.13010604751223356</v>
      </c>
    </row>
    <row r="359" spans="1:9" x14ac:dyDescent="0.2">
      <c r="A359" s="26"/>
      <c r="G359" s="23">
        <v>3.5182707613991151</v>
      </c>
      <c r="H359" s="24">
        <v>0.59753220888188274</v>
      </c>
      <c r="I359" s="25">
        <v>0.14141384820363068</v>
      </c>
    </row>
    <row r="360" spans="1:9" x14ac:dyDescent="0.2">
      <c r="A360" s="26"/>
      <c r="G360" s="23">
        <v>3.0115128864634348</v>
      </c>
      <c r="H360" s="24">
        <v>0.52903308325335441</v>
      </c>
      <c r="I360" s="25">
        <v>0.14246430214252631</v>
      </c>
    </row>
    <row r="361" spans="1:9" x14ac:dyDescent="0.2">
      <c r="A361" s="26"/>
      <c r="G361" s="23">
        <v>1.9215905367288173</v>
      </c>
      <c r="H361" s="24">
        <v>0.29713567485067865</v>
      </c>
      <c r="I361" s="25">
        <v>0.10258984398213818</v>
      </c>
    </row>
    <row r="362" spans="1:9" x14ac:dyDescent="0.2">
      <c r="A362" s="26"/>
      <c r="G362" s="23">
        <v>2.6952285716564979</v>
      </c>
      <c r="H362" s="24">
        <v>0.48236472109312234</v>
      </c>
      <c r="I362" s="25">
        <v>0.14186727004307592</v>
      </c>
    </row>
    <row r="363" spans="1:9" x14ac:dyDescent="0.2">
      <c r="A363" s="26"/>
      <c r="G363" s="23">
        <v>4.6824535903802014</v>
      </c>
      <c r="H363" s="24">
        <v>0.74193957953819445</v>
      </c>
      <c r="I363" s="25">
        <v>0.13709470166813864</v>
      </c>
    </row>
    <row r="364" spans="1:9" x14ac:dyDescent="0.2">
      <c r="A364" s="26"/>
      <c r="G364" s="23">
        <v>3.8717142314707522</v>
      </c>
      <c r="H364" s="24">
        <v>0.64271044585263337</v>
      </c>
      <c r="I364" s="25">
        <v>0.140173166694784</v>
      </c>
    </row>
    <row r="365" spans="1:9" x14ac:dyDescent="0.2">
      <c r="A365" s="26"/>
      <c r="G365" s="23">
        <v>1.9200482344423146</v>
      </c>
      <c r="H365" s="24">
        <v>0.2534079284537345</v>
      </c>
      <c r="I365" s="25">
        <v>7.9897954755379516E-2</v>
      </c>
    </row>
    <row r="366" spans="1:9" x14ac:dyDescent="0.2">
      <c r="A366" s="26"/>
      <c r="G366" s="23">
        <v>3.9396928079834046</v>
      </c>
      <c r="H366" s="24">
        <v>0.65123315563264828</v>
      </c>
      <c r="I366" s="25">
        <v>0.13991780095785938</v>
      </c>
    </row>
    <row r="367" spans="1:9" x14ac:dyDescent="0.2">
      <c r="A367" s="26"/>
      <c r="G367" s="23">
        <v>3.3696038298063815</v>
      </c>
      <c r="H367" s="24">
        <v>0.57799089149018734</v>
      </c>
      <c r="I367" s="25">
        <v>0.14185373537741283</v>
      </c>
    </row>
    <row r="368" spans="1:9" x14ac:dyDescent="0.2">
      <c r="A368" s="26"/>
      <c r="G368" s="23">
        <v>2.8239155446262751</v>
      </c>
      <c r="H368" s="24">
        <v>0.50187423895811101</v>
      </c>
      <c r="I368" s="25">
        <v>0.1423109973075275</v>
      </c>
    </row>
    <row r="369" spans="1:9" x14ac:dyDescent="0.2">
      <c r="A369" s="26"/>
      <c r="G369" s="23">
        <v>2.6954254491211125</v>
      </c>
      <c r="H369" s="24">
        <v>0.4823952393134745</v>
      </c>
      <c r="I369" s="25">
        <v>0.14186823009630803</v>
      </c>
    </row>
    <row r="370" spans="1:9" x14ac:dyDescent="0.2">
      <c r="A370" s="26"/>
      <c r="G370" s="23">
        <v>2.3055368937978402</v>
      </c>
      <c r="H370" s="24">
        <v>0.41560415533383765</v>
      </c>
      <c r="I370" s="25">
        <v>0.13688965667508207</v>
      </c>
    </row>
    <row r="371" spans="1:9" x14ac:dyDescent="0.2">
      <c r="A371" s="26"/>
      <c r="G371" s="23">
        <v>1.9443497898233606</v>
      </c>
      <c r="H371" s="24">
        <v>0.31403707407980785</v>
      </c>
      <c r="I371" s="25">
        <v>0.11008156747821413</v>
      </c>
    </row>
    <row r="372" spans="1:9" x14ac:dyDescent="0.2">
      <c r="A372" s="26"/>
      <c r="G372" s="23">
        <v>2.6587647628244273</v>
      </c>
      <c r="H372" s="24">
        <v>0.47667252527405307</v>
      </c>
      <c r="I372" s="25">
        <v>0.14167200086697204</v>
      </c>
    </row>
    <row r="373" spans="1:9" x14ac:dyDescent="0.2">
      <c r="A373" s="26"/>
      <c r="G373" s="23">
        <v>3.3567402876993246</v>
      </c>
      <c r="H373" s="24">
        <v>0.5762817498152798</v>
      </c>
      <c r="I373" s="25">
        <v>0.14188817349691427</v>
      </c>
    </row>
    <row r="374" spans="1:9" x14ac:dyDescent="0.2">
      <c r="A374" s="26"/>
      <c r="G374" s="23">
        <v>2.226859500693664</v>
      </c>
      <c r="H374" s="24">
        <v>0.39959020641064324</v>
      </c>
      <c r="I374" s="25">
        <v>0.13453484821435979</v>
      </c>
    </row>
    <row r="375" spans="1:9" x14ac:dyDescent="0.2">
      <c r="A375" s="26"/>
      <c r="G375" s="23">
        <v>2.3025210230869204</v>
      </c>
      <c r="H375" s="24">
        <v>0.4150142315165336</v>
      </c>
      <c r="I375" s="25">
        <v>0.1368127486645431</v>
      </c>
    </row>
    <row r="376" spans="1:9" x14ac:dyDescent="0.2">
      <c r="A376" s="26"/>
      <c r="G376" s="23">
        <v>1.9393106523462815</v>
      </c>
      <c r="H376" s="24">
        <v>0.31096096377019644</v>
      </c>
      <c r="I376" s="25">
        <v>0.10878141778102879</v>
      </c>
    </row>
    <row r="377" spans="1:9" x14ac:dyDescent="0.2">
      <c r="A377" s="26"/>
      <c r="G377" s="23">
        <v>3.3165696614075264</v>
      </c>
      <c r="H377" s="24">
        <v>0.57092392916265733</v>
      </c>
      <c r="I377" s="25">
        <v>0.14199126680568042</v>
      </c>
    </row>
    <row r="378" spans="1:9" x14ac:dyDescent="0.2">
      <c r="A378" s="26"/>
      <c r="G378" s="23">
        <v>5.3652041068539624</v>
      </c>
      <c r="H378" s="24">
        <v>0.82270005905778509</v>
      </c>
      <c r="I378" s="25">
        <v>0.13470131670189978</v>
      </c>
    </row>
    <row r="379" spans="1:9" x14ac:dyDescent="0.2">
      <c r="A379" s="26"/>
      <c r="G379" s="23">
        <v>3.1933621767299929</v>
      </c>
      <c r="H379" s="24">
        <v>0.55428125730086997</v>
      </c>
      <c r="I379" s="25">
        <v>0.14225798098352202</v>
      </c>
    </row>
    <row r="380" spans="1:9" x14ac:dyDescent="0.2">
      <c r="A380" s="26"/>
      <c r="G380" s="23">
        <v>2.2708111789175636</v>
      </c>
      <c r="H380" s="24">
        <v>0.40870374118514852</v>
      </c>
      <c r="I380" s="25">
        <v>0.1359442575239494</v>
      </c>
    </row>
    <row r="381" spans="1:9" x14ac:dyDescent="0.2">
      <c r="A381" s="26"/>
      <c r="G381" s="23">
        <v>2.9841630288720791</v>
      </c>
      <c r="H381" s="24">
        <v>0.52515228541887204</v>
      </c>
      <c r="I381" s="25">
        <v>0.14246952321819037</v>
      </c>
    </row>
    <row r="382" spans="1:9" x14ac:dyDescent="0.2">
      <c r="A382" s="26"/>
      <c r="G382" s="23">
        <v>4.651796234723145</v>
      </c>
      <c r="H382" s="24">
        <v>0.73826525440756663</v>
      </c>
      <c r="I382" s="25">
        <v>0.13720834290916384</v>
      </c>
    </row>
    <row r="383" spans="1:9" x14ac:dyDescent="0.2">
      <c r="A383" s="26"/>
      <c r="G383" s="23">
        <v>2.6133541492665349</v>
      </c>
      <c r="H383" s="24">
        <v>0.46946540369660578</v>
      </c>
      <c r="I383" s="25">
        <v>0.14137594107181531</v>
      </c>
    </row>
    <row r="384" spans="1:9" x14ac:dyDescent="0.2">
      <c r="A384" s="26"/>
      <c r="G384" s="23">
        <v>2.5438729411752741</v>
      </c>
      <c r="H384" s="24">
        <v>0.45815075641675407</v>
      </c>
      <c r="I384" s="25">
        <v>0.14078956111745566</v>
      </c>
    </row>
    <row r="385" spans="1:9" x14ac:dyDescent="0.2">
      <c r="A385" s="26"/>
      <c r="G385" s="23">
        <v>4.8006180661353506</v>
      </c>
      <c r="H385" s="24">
        <v>0.75605781135653738</v>
      </c>
      <c r="I385" s="25">
        <v>0.13666111338754522</v>
      </c>
    </row>
    <row r="386" spans="1:9" x14ac:dyDescent="0.2">
      <c r="A386" s="26"/>
      <c r="G386" s="23">
        <v>2.0583804806179447</v>
      </c>
      <c r="H386" s="24">
        <v>0.35827143096400332</v>
      </c>
      <c r="I386" s="25">
        <v>0.12547312409236983</v>
      </c>
    </row>
    <row r="387" spans="1:9" x14ac:dyDescent="0.2">
      <c r="A387" s="26"/>
      <c r="G387" s="23">
        <v>1.9766446058533396</v>
      </c>
      <c r="H387" s="24">
        <v>0.32996283418846972</v>
      </c>
      <c r="I387" s="25">
        <v>0.1163399996222771</v>
      </c>
    </row>
    <row r="388" spans="1:9" x14ac:dyDescent="0.2">
      <c r="A388" s="26"/>
      <c r="G388" s="23">
        <v>2.0534785629772263</v>
      </c>
      <c r="H388" s="24">
        <v>0.35682099506863574</v>
      </c>
      <c r="I388" s="25">
        <v>0.12506631342971941</v>
      </c>
    </row>
    <row r="389" spans="1:9" x14ac:dyDescent="0.2">
      <c r="A389" s="26"/>
      <c r="G389" s="23">
        <v>2.1011886720872952</v>
      </c>
      <c r="H389" s="24">
        <v>0.37013450958441241</v>
      </c>
      <c r="I389" s="25">
        <v>0.12856270913832216</v>
      </c>
    </row>
    <row r="390" spans="1:9" x14ac:dyDescent="0.2">
      <c r="A390" s="26"/>
      <c r="G390" s="23">
        <v>1.9180446489124765</v>
      </c>
      <c r="H390" s="24">
        <v>0.29320489413961115</v>
      </c>
      <c r="I390" s="25">
        <v>0.10073013303368168</v>
      </c>
    </row>
    <row r="391" spans="1:9" x14ac:dyDescent="0.2">
      <c r="A391" s="26"/>
      <c r="G391" s="23">
        <v>4.2714175906543295</v>
      </c>
      <c r="H391" s="24">
        <v>0.69222624451931558</v>
      </c>
      <c r="I391" s="25">
        <v>0.13864864075218589</v>
      </c>
    </row>
    <row r="392" spans="1:9" x14ac:dyDescent="0.2">
      <c r="A392" s="26"/>
      <c r="G392" s="23">
        <v>2.7015718927072525</v>
      </c>
      <c r="H392" s="24">
        <v>0.4833468806447635</v>
      </c>
      <c r="I392" s="25">
        <v>0.14189771524847131</v>
      </c>
    </row>
    <row r="393" spans="1:9" x14ac:dyDescent="0.2">
      <c r="A393" s="26"/>
      <c r="G393" s="23">
        <v>3.2888051196649553</v>
      </c>
      <c r="H393" s="24">
        <v>0.56720200276049082</v>
      </c>
      <c r="I393" s="25">
        <v>0.14205828082570321</v>
      </c>
    </row>
    <row r="394" spans="1:9" x14ac:dyDescent="0.2">
      <c r="A394" s="26"/>
      <c r="G394" s="23">
        <v>3.0990179034131558</v>
      </c>
      <c r="H394" s="24">
        <v>0.54129563474449061</v>
      </c>
      <c r="I394" s="25">
        <v>0.14239854270230129</v>
      </c>
    </row>
    <row r="395" spans="1:9" x14ac:dyDescent="0.2">
      <c r="A395" s="26"/>
      <c r="G395" s="23">
        <v>1.9109701048317289</v>
      </c>
      <c r="H395" s="24">
        <v>0.26922781796696432</v>
      </c>
      <c r="I395" s="25">
        <v>8.8555972722424992E-2</v>
      </c>
    </row>
    <row r="396" spans="1:9" x14ac:dyDescent="0.2">
      <c r="A396" s="26"/>
      <c r="G396" s="23">
        <v>2.3457162489632148</v>
      </c>
      <c r="H396" s="24">
        <v>0.42331022359633808</v>
      </c>
      <c r="I396" s="25">
        <v>0.13783006459077143</v>
      </c>
    </row>
    <row r="397" spans="1:9" x14ac:dyDescent="0.2">
      <c r="A397" s="26"/>
      <c r="G397" s="23">
        <v>4.6648256090560549</v>
      </c>
      <c r="H397" s="24">
        <v>0.73982743629236425</v>
      </c>
      <c r="I397" s="25">
        <v>0.13715999019558625</v>
      </c>
    </row>
    <row r="398" spans="1:9" x14ac:dyDescent="0.2">
      <c r="A398" s="26"/>
      <c r="G398" s="23">
        <v>4.8326673250918084</v>
      </c>
      <c r="H398" s="24">
        <v>0.75987554731145346</v>
      </c>
      <c r="I398" s="25">
        <v>0.13654479016074242</v>
      </c>
    </row>
    <row r="399" spans="1:9" x14ac:dyDescent="0.2">
      <c r="A399" s="26"/>
      <c r="G399" s="23">
        <v>2.4857190015908621</v>
      </c>
      <c r="H399" s="24">
        <v>0.44837024185169039</v>
      </c>
      <c r="I399" s="25">
        <v>0.14014868138297895</v>
      </c>
    </row>
    <row r="400" spans="1:9" x14ac:dyDescent="0.2">
      <c r="A400" s="26"/>
      <c r="G400" s="23">
        <v>1.9211404929648359</v>
      </c>
      <c r="H400" s="24">
        <v>0.2966749771973709</v>
      </c>
      <c r="I400" s="25">
        <v>0.10237407229063838</v>
      </c>
    </row>
    <row r="401" spans="1:9" x14ac:dyDescent="0.2">
      <c r="A401" s="26"/>
      <c r="G401" s="23">
        <v>2.2388703338127449</v>
      </c>
      <c r="H401" s="24">
        <v>0.14679604782148895</v>
      </c>
      <c r="I401" s="25">
        <v>2.0901633124809079E-2</v>
      </c>
    </row>
    <row r="402" spans="1:9" x14ac:dyDescent="0.2">
      <c r="A402" s="26"/>
      <c r="G402" s="23">
        <v>2.8440786708653749</v>
      </c>
      <c r="H402" s="24">
        <v>0.50485925256147701</v>
      </c>
      <c r="I402" s="25">
        <v>0.14235163577531185</v>
      </c>
    </row>
    <row r="403" spans="1:9" x14ac:dyDescent="0.2">
      <c r="A403" s="26"/>
      <c r="G403" s="23">
        <v>2.1754294180622678</v>
      </c>
      <c r="H403" s="24">
        <v>0.16066441165218934</v>
      </c>
      <c r="I403" s="25">
        <v>2.7886177165016533E-2</v>
      </c>
    </row>
    <row r="404" spans="1:9" x14ac:dyDescent="0.2">
      <c r="A404" s="26"/>
      <c r="G404" s="23">
        <v>1.9264497897301276</v>
      </c>
      <c r="H404" s="24">
        <v>0.30162232729269384</v>
      </c>
      <c r="I404" s="25">
        <v>0.10466004713822444</v>
      </c>
    </row>
    <row r="405" spans="1:9" x14ac:dyDescent="0.2">
      <c r="A405" s="26"/>
      <c r="G405" s="23">
        <v>2.4453705164098261</v>
      </c>
      <c r="H405" s="24">
        <v>0.44139004065500242</v>
      </c>
      <c r="I405" s="25">
        <v>0.13960667182088157</v>
      </c>
    </row>
    <row r="406" spans="1:9" x14ac:dyDescent="0.2">
      <c r="A406" s="26"/>
      <c r="G406" s="23">
        <v>2.5785472984376474</v>
      </c>
      <c r="H406" s="24">
        <v>0.46384369474562276</v>
      </c>
      <c r="I406" s="25">
        <v>0.1411041377739943</v>
      </c>
    </row>
    <row r="407" spans="1:9" x14ac:dyDescent="0.2">
      <c r="A407" s="26"/>
      <c r="G407" s="23">
        <v>1.9785231850186074</v>
      </c>
      <c r="H407" s="24">
        <v>0.33075754425542497</v>
      </c>
      <c r="I407" s="25">
        <v>0.11663120478577493</v>
      </c>
    </row>
    <row r="408" spans="1:9" x14ac:dyDescent="0.2">
      <c r="A408" s="26"/>
      <c r="G408" s="23">
        <v>3.8160348188969131</v>
      </c>
      <c r="H408" s="24">
        <v>0.63569388472044153</v>
      </c>
      <c r="I408" s="25">
        <v>0.14037971576610939</v>
      </c>
    </row>
    <row r="409" spans="1:9" x14ac:dyDescent="0.2">
      <c r="A409" s="26"/>
      <c r="G409" s="23">
        <v>2.6798142337489916</v>
      </c>
      <c r="H409" s="24">
        <v>0.47996825839282253</v>
      </c>
      <c r="I409" s="25">
        <v>0.14178902855185621</v>
      </c>
    </row>
    <row r="410" spans="1:9" x14ac:dyDescent="0.2">
      <c r="A410" s="26"/>
      <c r="G410" s="23">
        <v>2.7524035297783707</v>
      </c>
      <c r="H410" s="24">
        <v>0.49113675829953252</v>
      </c>
      <c r="I410" s="25">
        <v>0.14210734457273114</v>
      </c>
    </row>
    <row r="411" spans="1:9" x14ac:dyDescent="0.2">
      <c r="A411" s="26"/>
      <c r="G411" s="23">
        <v>1.9214777679848982</v>
      </c>
      <c r="H411" s="24">
        <v>0.29702110982803126</v>
      </c>
      <c r="I411" s="25">
        <v>0.10253624143907536</v>
      </c>
    </row>
    <row r="412" spans="1:9" x14ac:dyDescent="0.2">
      <c r="A412" s="26"/>
      <c r="G412" s="23">
        <v>3.4391609031967629</v>
      </c>
      <c r="H412" s="24">
        <v>0.5871805315649824</v>
      </c>
      <c r="I412" s="25">
        <v>0.14165680053585836</v>
      </c>
    </row>
    <row r="413" spans="1:9" x14ac:dyDescent="0.2">
      <c r="A413" s="26"/>
      <c r="G413" s="23">
        <v>2.9656121154228008</v>
      </c>
      <c r="H413" s="24">
        <v>0.5225059765319553</v>
      </c>
      <c r="I413" s="25">
        <v>0.14246838716519183</v>
      </c>
    </row>
    <row r="414" spans="1:9" x14ac:dyDescent="0.2">
      <c r="A414" s="26"/>
      <c r="G414" s="23">
        <v>4.1813937448552272</v>
      </c>
      <c r="H414" s="24">
        <v>0.68119013013739049</v>
      </c>
      <c r="I414" s="25">
        <v>0.13899435549746272</v>
      </c>
    </row>
    <row r="415" spans="1:9" x14ac:dyDescent="0.2">
      <c r="A415" s="26"/>
      <c r="G415" s="23">
        <v>4.5002570768198549</v>
      </c>
      <c r="H415" s="24">
        <v>0.72002852208159496</v>
      </c>
      <c r="I415" s="25">
        <v>0.13777624478058204</v>
      </c>
    </row>
    <row r="416" spans="1:9" x14ac:dyDescent="0.2">
      <c r="A416" s="26"/>
      <c r="G416" s="23">
        <v>2.5267009902339193</v>
      </c>
      <c r="H416" s="24">
        <v>0.45529449736725602</v>
      </c>
      <c r="I416" s="25">
        <v>0.14061596415658473</v>
      </c>
    </row>
    <row r="417" spans="1:9" x14ac:dyDescent="0.2">
      <c r="A417" s="26"/>
      <c r="G417" s="23">
        <v>1.9470602793460507</v>
      </c>
      <c r="H417" s="24">
        <v>0.23332369078798559</v>
      </c>
      <c r="I417" s="25">
        <v>6.8474351160123417E-2</v>
      </c>
    </row>
    <row r="418" spans="1:9" x14ac:dyDescent="0.2">
      <c r="A418" s="26"/>
      <c r="G418" s="23">
        <v>2.6219126404476922</v>
      </c>
      <c r="H418" s="24">
        <v>0.47083434822848241</v>
      </c>
      <c r="I418" s="25">
        <v>0.14143657611530727</v>
      </c>
    </row>
    <row r="419" spans="1:9" x14ac:dyDescent="0.2">
      <c r="A419" s="26"/>
      <c r="G419" s="23">
        <v>4.4656656321959156</v>
      </c>
      <c r="H419" s="24">
        <v>0.71584725602281818</v>
      </c>
      <c r="I419" s="25">
        <v>0.13790715769059261</v>
      </c>
    </row>
    <row r="420" spans="1:9" x14ac:dyDescent="0.2">
      <c r="A420" s="26"/>
      <c r="G420" s="23">
        <v>2.5321430967067529</v>
      </c>
      <c r="H420" s="24">
        <v>0.45620245714515273</v>
      </c>
      <c r="I420" s="25">
        <v>0.14067232460847309</v>
      </c>
    </row>
    <row r="421" spans="1:9" x14ac:dyDescent="0.2">
      <c r="A421" s="26"/>
      <c r="G421" s="23">
        <v>1.971791632546166</v>
      </c>
      <c r="H421" s="24">
        <v>0.22106460427836086</v>
      </c>
      <c r="I421" s="25">
        <v>6.1398273930148767E-2</v>
      </c>
    </row>
    <row r="422" spans="1:9" x14ac:dyDescent="0.2">
      <c r="A422" s="26"/>
      <c r="G422" s="23">
        <v>2.4599807342984481</v>
      </c>
      <c r="H422" s="24">
        <v>0.44393751521111563</v>
      </c>
      <c r="I422" s="25">
        <v>0.13981309240581741</v>
      </c>
    </row>
    <row r="423" spans="1:9" x14ac:dyDescent="0.2">
      <c r="A423" s="26"/>
      <c r="G423" s="23">
        <v>1.9252915153017902</v>
      </c>
      <c r="H423" s="24">
        <v>0.30062182845487995</v>
      </c>
      <c r="I423" s="25">
        <v>0.10420335069794159</v>
      </c>
    </row>
    <row r="424" spans="1:9" x14ac:dyDescent="0.2">
      <c r="A424" s="26"/>
      <c r="G424" s="23">
        <v>3.6179583916900917</v>
      </c>
      <c r="H424" s="24">
        <v>0.61043956171151059</v>
      </c>
      <c r="I424" s="25">
        <v>0.14108497250653784</v>
      </c>
    </row>
    <row r="425" spans="1:9" x14ac:dyDescent="0.2">
      <c r="A425" s="26"/>
      <c r="G425" s="23">
        <v>2.551346505862143</v>
      </c>
      <c r="H425" s="24">
        <v>0.45938603238106879</v>
      </c>
      <c r="I425" s="25">
        <v>0.1408613177650325</v>
      </c>
    </row>
    <row r="426" spans="1:9" x14ac:dyDescent="0.2">
      <c r="A426" s="26"/>
      <c r="G426" s="23">
        <v>1.9801528874972165</v>
      </c>
      <c r="H426" s="24">
        <v>0.21748479412309352</v>
      </c>
      <c r="I426" s="25">
        <v>5.9331172544697032E-2</v>
      </c>
    </row>
    <row r="427" spans="1:9" x14ac:dyDescent="0.2">
      <c r="A427" s="26"/>
      <c r="G427" s="23">
        <v>2.0407717258437765</v>
      </c>
      <c r="H427" s="24">
        <v>0.35295347769095747</v>
      </c>
      <c r="I427" s="25">
        <v>0.12394991218150836</v>
      </c>
    </row>
    <row r="428" spans="1:9" x14ac:dyDescent="0.2">
      <c r="A428" s="26"/>
      <c r="G428" s="23">
        <v>3.2186381377159843</v>
      </c>
      <c r="H428" s="24">
        <v>0.55772297211308319</v>
      </c>
      <c r="I428" s="25">
        <v>0.1422101370326076</v>
      </c>
    </row>
    <row r="429" spans="1:9" x14ac:dyDescent="0.2">
      <c r="A429" s="26"/>
      <c r="G429" s="23">
        <v>3.1384609232289247</v>
      </c>
      <c r="H429" s="24">
        <v>0.54675239010778753</v>
      </c>
      <c r="I429" s="25">
        <v>0.1423476027090507</v>
      </c>
    </row>
    <row r="430" spans="1:9" x14ac:dyDescent="0.2">
      <c r="A430" s="26"/>
      <c r="G430" s="23">
        <v>2.9821210701310688</v>
      </c>
      <c r="H430" s="24">
        <v>0.52486156256184469</v>
      </c>
      <c r="I430" s="25">
        <v>0.14246958828303213</v>
      </c>
    </row>
    <row r="431" spans="1:9" x14ac:dyDescent="0.2">
      <c r="A431" s="26"/>
      <c r="G431" s="23">
        <v>4.2081820466960664</v>
      </c>
      <c r="H431" s="24">
        <v>0.68448047895631081</v>
      </c>
      <c r="I431" s="25">
        <v>0.13889144314112617</v>
      </c>
    </row>
    <row r="432" spans="1:9" x14ac:dyDescent="0.2">
      <c r="A432" s="26"/>
      <c r="G432" s="23">
        <v>3.3530488463777393</v>
      </c>
      <c r="H432" s="24">
        <v>0.57579070107126529</v>
      </c>
      <c r="I432" s="25">
        <v>0.14189793271134135</v>
      </c>
    </row>
    <row r="433" spans="1:9" x14ac:dyDescent="0.2">
      <c r="A433" s="26"/>
      <c r="G433" s="23">
        <v>2.2236989812401107</v>
      </c>
      <c r="H433" s="24">
        <v>0.39891629594853117</v>
      </c>
      <c r="I433" s="25">
        <v>0.13442300283454536</v>
      </c>
    </row>
    <row r="434" spans="1:9" x14ac:dyDescent="0.2">
      <c r="A434" s="26"/>
      <c r="G434" s="23">
        <v>2.3383990972424913</v>
      </c>
      <c r="H434" s="24">
        <v>0.42192709682329976</v>
      </c>
      <c r="I434" s="25">
        <v>0.13766986812166046</v>
      </c>
    </row>
    <row r="435" spans="1:9" x14ac:dyDescent="0.2">
      <c r="A435" s="26"/>
      <c r="G435" s="23">
        <v>4.6398899225767192</v>
      </c>
      <c r="H435" s="24">
        <v>0.73683694803091659</v>
      </c>
      <c r="I435" s="25">
        <v>0.13725259805024406</v>
      </c>
    </row>
    <row r="436" spans="1:9" x14ac:dyDescent="0.2">
      <c r="A436" s="26"/>
      <c r="G436" s="23">
        <v>2.3867389627500484</v>
      </c>
      <c r="H436" s="24">
        <v>0.43091396562838774</v>
      </c>
      <c r="I436" s="25">
        <v>0.13864690244842945</v>
      </c>
    </row>
    <row r="437" spans="1:9" x14ac:dyDescent="0.2">
      <c r="A437" s="26"/>
      <c r="G437" s="23">
        <v>1.9299258794523177</v>
      </c>
      <c r="H437" s="24">
        <v>0.24449515934379881</v>
      </c>
      <c r="I437" s="25">
        <v>7.48708328087129E-2</v>
      </c>
    </row>
    <row r="438" spans="1:9" x14ac:dyDescent="0.2">
      <c r="A438" s="26"/>
      <c r="G438" s="23">
        <v>3.4531633939048971</v>
      </c>
      <c r="H438" s="24">
        <v>0.58902026867289403</v>
      </c>
      <c r="I438" s="25">
        <v>0.14161515439609282</v>
      </c>
    </row>
    <row r="439" spans="1:9" x14ac:dyDescent="0.2">
      <c r="A439" s="26"/>
      <c r="G439" s="23">
        <v>2.1229499444386217</v>
      </c>
      <c r="H439" s="24">
        <v>0.17320724636314261</v>
      </c>
      <c r="I439" s="25">
        <v>3.448373573988571E-2</v>
      </c>
    </row>
    <row r="440" spans="1:9" x14ac:dyDescent="0.2">
      <c r="A440" s="26"/>
      <c r="G440" s="23">
        <v>3.2635536322251819</v>
      </c>
      <c r="H440" s="24">
        <v>0.56380304995716779</v>
      </c>
      <c r="I440" s="25">
        <v>0.14211595724591106</v>
      </c>
    </row>
    <row r="441" spans="1:9" x14ac:dyDescent="0.2">
      <c r="A441" s="26"/>
      <c r="G441" s="23">
        <v>2.4649705677928608</v>
      </c>
      <c r="H441" s="24">
        <v>0.44480226028180447</v>
      </c>
      <c r="I441" s="25">
        <v>0.1398808826753761</v>
      </c>
    </row>
    <row r="442" spans="1:9" x14ac:dyDescent="0.2">
      <c r="A442" s="26"/>
      <c r="G442" s="23">
        <v>4.7312208694549156</v>
      </c>
      <c r="H442" s="24">
        <v>0.74777455568000539</v>
      </c>
      <c r="I442" s="25">
        <v>0.1369148835075458</v>
      </c>
    </row>
    <row r="443" spans="1:9" x14ac:dyDescent="0.2">
      <c r="A443" s="26"/>
      <c r="G443" s="23">
        <v>3.4451377393076101</v>
      </c>
      <c r="H443" s="24">
        <v>0.58796621248854453</v>
      </c>
      <c r="I443" s="25">
        <v>0.14163910064637877</v>
      </c>
    </row>
    <row r="444" spans="1:9" x14ac:dyDescent="0.2">
      <c r="A444" s="26"/>
      <c r="G444" s="23">
        <v>1.9873865561294894</v>
      </c>
      <c r="H444" s="24">
        <v>0.33437453633781627</v>
      </c>
      <c r="I444" s="25">
        <v>0.11793102560991126</v>
      </c>
    </row>
    <row r="445" spans="1:9" x14ac:dyDescent="0.2">
      <c r="A445" s="26"/>
      <c r="G445" s="23">
        <v>2.7332243789649437</v>
      </c>
      <c r="H445" s="24">
        <v>0.4882139501426217</v>
      </c>
      <c r="I445" s="25">
        <v>0.14203515512309309</v>
      </c>
    </row>
    <row r="446" spans="1:9" x14ac:dyDescent="0.2">
      <c r="A446" s="26"/>
      <c r="G446" s="23">
        <v>1.9122648141788918</v>
      </c>
      <c r="H446" s="24">
        <v>0.2651566749668981</v>
      </c>
      <c r="I446" s="25">
        <v>8.6367051389636462E-2</v>
      </c>
    </row>
    <row r="447" spans="1:9" x14ac:dyDescent="0.2">
      <c r="A447" s="26"/>
      <c r="G447" s="23">
        <v>1.9617482972531586</v>
      </c>
      <c r="H447" s="24">
        <v>0.32323518311353239</v>
      </c>
      <c r="I447" s="25">
        <v>0.11379399790278413</v>
      </c>
    </row>
    <row r="448" spans="1:9" x14ac:dyDescent="0.2">
      <c r="A448" s="26"/>
      <c r="G448" s="23">
        <v>2.8002169207354215</v>
      </c>
      <c r="H448" s="24">
        <v>0.49834270032198652</v>
      </c>
      <c r="I448" s="25">
        <v>0.14225422890711395</v>
      </c>
    </row>
    <row r="449" spans="1:9" x14ac:dyDescent="0.2">
      <c r="A449" s="26"/>
      <c r="G449" s="23">
        <v>4.5592101216402225</v>
      </c>
      <c r="H449" s="24">
        <v>0.72713835249548686</v>
      </c>
      <c r="I449" s="25">
        <v>0.13755416711957802</v>
      </c>
    </row>
    <row r="450" spans="1:9" x14ac:dyDescent="0.2">
      <c r="A450" s="26"/>
      <c r="G450" s="23">
        <v>5.2673372535541674</v>
      </c>
      <c r="H450" s="24">
        <v>0.8112321602047976</v>
      </c>
      <c r="I450" s="25">
        <v>0.13502688825075199</v>
      </c>
    </row>
    <row r="451" spans="1:9" x14ac:dyDescent="0.2">
      <c r="A451" s="26"/>
      <c r="G451" s="23">
        <v>2.5088147908589096</v>
      </c>
      <c r="H451" s="24">
        <v>0.45229174130564126</v>
      </c>
      <c r="I451" s="25">
        <v>0.14042158117814496</v>
      </c>
    </row>
    <row r="452" spans="1:9" x14ac:dyDescent="0.2">
      <c r="A452" s="26"/>
      <c r="G452" s="23">
        <v>3.0106980451220249</v>
      </c>
      <c r="H452" s="24">
        <v>0.52891780903421426</v>
      </c>
      <c r="I452" s="25">
        <v>0.14246457170922097</v>
      </c>
    </row>
    <row r="453" spans="1:9" x14ac:dyDescent="0.2">
      <c r="A453" s="26"/>
      <c r="G453" s="23">
        <v>4.4387678684885019</v>
      </c>
      <c r="H453" s="24">
        <v>0.71259096116231246</v>
      </c>
      <c r="I453" s="25">
        <v>0.13800923540540927</v>
      </c>
    </row>
    <row r="454" spans="1:9" x14ac:dyDescent="0.2">
      <c r="A454" s="26"/>
      <c r="G454" s="23">
        <v>2.8427244265536693</v>
      </c>
      <c r="H454" s="24">
        <v>0.50465931691043231</v>
      </c>
      <c r="I454" s="25">
        <v>0.14234911820520652</v>
      </c>
    </row>
    <row r="455" spans="1:9" x14ac:dyDescent="0.2">
      <c r="A455" s="26"/>
      <c r="G455" s="23">
        <v>1.9322534935498861</v>
      </c>
      <c r="H455" s="24">
        <v>0.30617112399972479</v>
      </c>
      <c r="I455" s="25">
        <v>0.10669983167210448</v>
      </c>
    </row>
    <row r="456" spans="1:9" x14ac:dyDescent="0.2">
      <c r="A456" s="26"/>
      <c r="G456" s="23">
        <v>2.7905213644440119</v>
      </c>
      <c r="H456" s="24">
        <v>0.49689042166213543</v>
      </c>
      <c r="I456" s="25">
        <v>0.1422280528753796</v>
      </c>
    </row>
    <row r="457" spans="1:9" x14ac:dyDescent="0.2">
      <c r="A457" s="26"/>
      <c r="G457" s="23">
        <v>1.9665028292289439</v>
      </c>
      <c r="H457" s="24">
        <v>0.22345007060454095</v>
      </c>
      <c r="I457" s="25">
        <v>6.27764513122155E-2</v>
      </c>
    </row>
    <row r="458" spans="1:9" x14ac:dyDescent="0.2">
      <c r="A458" s="26"/>
      <c r="G458" s="23">
        <v>2.1802356551273934</v>
      </c>
      <c r="H458" s="24">
        <v>0.15956980397504533</v>
      </c>
      <c r="I458" s="25">
        <v>2.7322643928345668E-2</v>
      </c>
    </row>
    <row r="459" spans="1:9" x14ac:dyDescent="0.2">
      <c r="A459" s="26"/>
      <c r="G459" s="23">
        <v>3.9425626434804775</v>
      </c>
      <c r="H459" s="24">
        <v>0.65159194304740931</v>
      </c>
      <c r="I459" s="25">
        <v>0.13990695682906135</v>
      </c>
    </row>
    <row r="460" spans="1:9" x14ac:dyDescent="0.2">
      <c r="A460" s="26"/>
      <c r="G460" s="23">
        <v>3.5182620319248565</v>
      </c>
      <c r="H460" s="24">
        <v>0.59753107213264922</v>
      </c>
      <c r="I460" s="25">
        <v>0.14141387597851307</v>
      </c>
    </row>
    <row r="461" spans="1:9" x14ac:dyDescent="0.2">
      <c r="A461" s="26"/>
      <c r="G461" s="23">
        <v>3.3974522107573994</v>
      </c>
      <c r="H461" s="24">
        <v>0.58168051521460529</v>
      </c>
      <c r="I461" s="25">
        <v>0.14177697987902158</v>
      </c>
    </row>
    <row r="462" spans="1:9" x14ac:dyDescent="0.2">
      <c r="A462" s="26"/>
      <c r="G462" s="23">
        <v>1.9682434599291632</v>
      </c>
      <c r="H462" s="24">
        <v>0.32626982506621727</v>
      </c>
      <c r="I462" s="25">
        <v>0.11496028219204375</v>
      </c>
    </row>
    <row r="463" spans="1:9" x14ac:dyDescent="0.2">
      <c r="A463" s="26"/>
      <c r="G463" s="23">
        <v>2.886306040527745</v>
      </c>
      <c r="H463" s="24">
        <v>0.51105528355040031</v>
      </c>
      <c r="I463" s="25">
        <v>0.14241569545588625</v>
      </c>
    </row>
    <row r="464" spans="1:9" x14ac:dyDescent="0.2">
      <c r="A464" s="26"/>
      <c r="G464" s="23">
        <v>2.5058447006304752</v>
      </c>
      <c r="H464" s="24">
        <v>0.45179028496296558</v>
      </c>
      <c r="I464" s="25">
        <v>0.14038790328240947</v>
      </c>
    </row>
    <row r="465" spans="1:9" x14ac:dyDescent="0.2">
      <c r="A465" s="26"/>
      <c r="G465" s="23">
        <v>1.9933980859390652</v>
      </c>
      <c r="H465" s="24">
        <v>0.33671682667538927</v>
      </c>
      <c r="I465" s="25">
        <v>0.11875040256886711</v>
      </c>
    </row>
    <row r="466" spans="1:9" x14ac:dyDescent="0.2">
      <c r="A466" s="26"/>
      <c r="G466" s="23">
        <v>3.480390507907146</v>
      </c>
      <c r="H466" s="24">
        <v>0.5925881824056719</v>
      </c>
      <c r="I466" s="25">
        <v>0.14153244579780289</v>
      </c>
    </row>
    <row r="467" spans="1:9" x14ac:dyDescent="0.2">
      <c r="A467" s="26"/>
      <c r="G467" s="23">
        <v>2.1629870031050258</v>
      </c>
      <c r="H467" s="24">
        <v>0.38538664425865582</v>
      </c>
      <c r="I467" s="25">
        <v>0.13194098825321629</v>
      </c>
    </row>
    <row r="468" spans="1:9" x14ac:dyDescent="0.2">
      <c r="A468" s="26"/>
      <c r="G468" s="23">
        <v>2.2644967923357822</v>
      </c>
      <c r="H468" s="24">
        <v>0.40742217272890213</v>
      </c>
      <c r="I468" s="25">
        <v>0.13575738869635859</v>
      </c>
    </row>
    <row r="469" spans="1:9" x14ac:dyDescent="0.2">
      <c r="A469" s="26"/>
      <c r="G469" s="23">
        <v>3.4162748588048064</v>
      </c>
      <c r="H469" s="24">
        <v>0.58416638601325399</v>
      </c>
      <c r="I469" s="25">
        <v>0.14172348670227455</v>
      </c>
    </row>
    <row r="470" spans="1:9" x14ac:dyDescent="0.2">
      <c r="A470" s="26"/>
      <c r="G470" s="23">
        <v>1.9116743922416966</v>
      </c>
      <c r="H470" s="24">
        <v>0.28218090325746015</v>
      </c>
      <c r="I470" s="25">
        <v>9.5299127564141453E-2</v>
      </c>
    </row>
    <row r="471" spans="1:9" x14ac:dyDescent="0.2">
      <c r="A471" s="26"/>
      <c r="G471" s="23">
        <v>2.097924077207955</v>
      </c>
      <c r="H471" s="24">
        <v>0.36927397118538186</v>
      </c>
      <c r="I471" s="25">
        <v>0.12835258083010892</v>
      </c>
    </row>
    <row r="472" spans="1:9" x14ac:dyDescent="0.2">
      <c r="A472" s="26"/>
      <c r="G472" s="23">
        <v>2.8489460633187509</v>
      </c>
      <c r="H472" s="24">
        <v>0.5055772118928108</v>
      </c>
      <c r="I472" s="25">
        <v>0.14236043834758874</v>
      </c>
    </row>
    <row r="473" spans="1:9" x14ac:dyDescent="0.2">
      <c r="A473" s="26"/>
      <c r="G473" s="23">
        <v>2.4799674367949214</v>
      </c>
      <c r="H473" s="24">
        <v>0.44738557337803425</v>
      </c>
      <c r="I473" s="25">
        <v>0.14007666662626622</v>
      </c>
    </row>
    <row r="474" spans="1:9" x14ac:dyDescent="0.2">
      <c r="A474" s="26"/>
      <c r="G474" s="23">
        <v>1.9502557282071598</v>
      </c>
      <c r="H474" s="24">
        <v>0.31737149826432615</v>
      </c>
      <c r="I474" s="25">
        <v>0.11145794555570224</v>
      </c>
    </row>
    <row r="475" spans="1:9" x14ac:dyDescent="0.2">
      <c r="A475" s="26"/>
      <c r="G475" s="23">
        <v>2.2551751405935727</v>
      </c>
      <c r="H475" s="24">
        <v>0.40551399308944758</v>
      </c>
      <c r="I475" s="25">
        <v>0.1354724012782966</v>
      </c>
    </row>
    <row r="476" spans="1:9" x14ac:dyDescent="0.2">
      <c r="A476" s="26"/>
      <c r="G476" s="23">
        <v>4.7088400482468629</v>
      </c>
      <c r="H476" s="24">
        <v>0.74509818327299127</v>
      </c>
      <c r="I476" s="25">
        <v>0.13699725944673999</v>
      </c>
    </row>
    <row r="477" spans="1:9" x14ac:dyDescent="0.2">
      <c r="A477" s="26"/>
      <c r="G477" s="23">
        <v>4.4916262652595282</v>
      </c>
      <c r="H477" s="24">
        <v>0.71898593515202835</v>
      </c>
      <c r="I477" s="25">
        <v>0.1378088685716034</v>
      </c>
    </row>
    <row r="478" spans="1:9" x14ac:dyDescent="0.2">
      <c r="A478" s="26"/>
      <c r="G478" s="23">
        <v>1.9891926369045352</v>
      </c>
      <c r="H478" s="24">
        <v>0.3350870064987867</v>
      </c>
      <c r="I478" s="25">
        <v>0.11818212105113117</v>
      </c>
    </row>
    <row r="479" spans="1:9" x14ac:dyDescent="0.2">
      <c r="A479" s="26"/>
      <c r="G479" s="23">
        <v>2.3122541418182916</v>
      </c>
      <c r="H479" s="24">
        <v>0.41691205624520034</v>
      </c>
      <c r="I479" s="25">
        <v>0.13705762226719312</v>
      </c>
    </row>
    <row r="480" spans="1:9" x14ac:dyDescent="0.2">
      <c r="A480" s="26"/>
      <c r="G480" s="23">
        <v>3.2984941458248964</v>
      </c>
      <c r="H480" s="24">
        <v>0.5685026385874915</v>
      </c>
      <c r="I480" s="25">
        <v>0.14203530956402863</v>
      </c>
    </row>
    <row r="481" spans="1:9" x14ac:dyDescent="0.2">
      <c r="A481" s="26"/>
      <c r="G481" s="23">
        <v>2.9459689334552239</v>
      </c>
      <c r="H481" s="24">
        <v>0.51969101781499627</v>
      </c>
      <c r="I481" s="25">
        <v>0.14246281132117686</v>
      </c>
    </row>
    <row r="482" spans="1:9" x14ac:dyDescent="0.2">
      <c r="A482" s="26"/>
      <c r="G482" s="23">
        <v>2.1219075321065901</v>
      </c>
      <c r="H482" s="24">
        <v>0.37545452325077766</v>
      </c>
      <c r="I482" s="25">
        <v>0.12981457372329294</v>
      </c>
    </row>
    <row r="483" spans="1:9" x14ac:dyDescent="0.2">
      <c r="A483" s="26"/>
      <c r="G483" s="23">
        <v>2.9780656947511122</v>
      </c>
      <c r="H483" s="24">
        <v>0.52428376911769503</v>
      </c>
      <c r="I483" s="25">
        <v>0.14246957962525331</v>
      </c>
    </row>
    <row r="484" spans="1:9" x14ac:dyDescent="0.2">
      <c r="A484" s="26"/>
      <c r="G484" s="23">
        <v>2.8735507923148629</v>
      </c>
      <c r="H484" s="24">
        <v>0.50919136836478196</v>
      </c>
      <c r="I484" s="25">
        <v>0.14239921144565229</v>
      </c>
    </row>
    <row r="485" spans="1:9" x14ac:dyDescent="0.2">
      <c r="A485" s="26"/>
      <c r="G485" s="23">
        <v>2.5363170461899633</v>
      </c>
      <c r="H485" s="24">
        <v>0.45689709129582912</v>
      </c>
      <c r="I485" s="25">
        <v>0.14071469903253664</v>
      </c>
    </row>
    <row r="486" spans="1:9" x14ac:dyDescent="0.2">
      <c r="A486" s="26"/>
      <c r="G486" s="23">
        <v>2.1737914248835959</v>
      </c>
      <c r="H486" s="24">
        <v>0.38788406829195621</v>
      </c>
      <c r="I486" s="25">
        <v>0.1324340796943092</v>
      </c>
    </row>
    <row r="487" spans="1:9" x14ac:dyDescent="0.2">
      <c r="A487" s="26"/>
      <c r="G487" s="23">
        <v>1.9928463729917565</v>
      </c>
      <c r="H487" s="24">
        <v>0.33650525625461863</v>
      </c>
      <c r="I487" s="25">
        <v>0.11867711328367449</v>
      </c>
    </row>
    <row r="488" spans="1:9" x14ac:dyDescent="0.2">
      <c r="A488" s="26"/>
      <c r="G488" s="23">
        <v>1.9539205859482349</v>
      </c>
      <c r="H488" s="24">
        <v>0.22960253658401583</v>
      </c>
      <c r="I488" s="25">
        <v>6.6329479317606854E-2</v>
      </c>
    </row>
    <row r="489" spans="1:9" x14ac:dyDescent="0.2">
      <c r="A489" s="26"/>
      <c r="G489" s="23">
        <v>4.3778856298414119</v>
      </c>
      <c r="H489" s="24">
        <v>0.70520370144782718</v>
      </c>
      <c r="I489" s="25">
        <v>0.13824109424704967</v>
      </c>
    </row>
    <row r="490" spans="1:9" x14ac:dyDescent="0.2">
      <c r="A490" s="26"/>
      <c r="G490" s="23">
        <v>2.8256515561406697</v>
      </c>
      <c r="H490" s="24">
        <v>0.50213194332423006</v>
      </c>
      <c r="I490" s="25">
        <v>0.142314766645663</v>
      </c>
    </row>
    <row r="491" spans="1:9" x14ac:dyDescent="0.2">
      <c r="A491" s="26"/>
      <c r="G491" s="23">
        <v>1.9259086866637909</v>
      </c>
      <c r="H491" s="24">
        <v>0.30115952325446016</v>
      </c>
      <c r="I491" s="25">
        <v>0.10444914816434431</v>
      </c>
    </row>
    <row r="492" spans="1:9" x14ac:dyDescent="0.2">
      <c r="A492" s="26"/>
      <c r="G492" s="23">
        <v>2.5500215933839292</v>
      </c>
      <c r="H492" s="24">
        <v>0.45916738160198789</v>
      </c>
      <c r="I492" s="25">
        <v>0.14084876027863338</v>
      </c>
    </row>
    <row r="493" spans="1:9" x14ac:dyDescent="0.2">
      <c r="A493" s="26"/>
      <c r="G493" s="23">
        <v>2.1815392114860672</v>
      </c>
      <c r="H493" s="24">
        <v>0.38964908338622428</v>
      </c>
      <c r="I493" s="25">
        <v>0.13277280571949879</v>
      </c>
    </row>
    <row r="494" spans="1:9" x14ac:dyDescent="0.2">
      <c r="A494" s="26"/>
      <c r="G494" s="23">
        <v>2.6704683725417122</v>
      </c>
      <c r="H494" s="24">
        <v>0.47850833475502325</v>
      </c>
      <c r="I494" s="25">
        <v>0.14173855686021419</v>
      </c>
    </row>
    <row r="495" spans="1:9" x14ac:dyDescent="0.2">
      <c r="A495" s="26"/>
      <c r="G495" s="23">
        <v>2.1572792377049357</v>
      </c>
      <c r="H495" s="24">
        <v>0.38404947192835442</v>
      </c>
      <c r="I495" s="25">
        <v>0.13167023789670826</v>
      </c>
    </row>
    <row r="496" spans="1:9" x14ac:dyDescent="0.2">
      <c r="A496" s="26"/>
      <c r="G496" s="23">
        <v>3.0387219230469364</v>
      </c>
      <c r="H496" s="24">
        <v>0.53287041448813788</v>
      </c>
      <c r="I496" s="25">
        <v>0.14245147267834932</v>
      </c>
    </row>
    <row r="497" spans="1:9" x14ac:dyDescent="0.2">
      <c r="A497" s="26"/>
      <c r="G497" s="23">
        <v>2.8194176124377495</v>
      </c>
      <c r="H497" s="24">
        <v>0.50120591469960696</v>
      </c>
      <c r="I497" s="25">
        <v>0.14230098848768866</v>
      </c>
    </row>
    <row r="498" spans="1:9" x14ac:dyDescent="0.2">
      <c r="A498" s="26"/>
      <c r="G498" s="23">
        <v>4.5492185986605014</v>
      </c>
      <c r="H498" s="24">
        <v>0.72593476069030094</v>
      </c>
      <c r="I498" s="25">
        <v>0.1375917084715359</v>
      </c>
    </row>
    <row r="499" spans="1:9" x14ac:dyDescent="0.2">
      <c r="A499" s="26"/>
      <c r="G499" s="23">
        <v>2.8538782665059559</v>
      </c>
      <c r="H499" s="24">
        <v>0.50630370954954673</v>
      </c>
      <c r="I499" s="25">
        <v>0.14236896956255743</v>
      </c>
    </row>
    <row r="500" spans="1:9" x14ac:dyDescent="0.2">
      <c r="A500" s="26"/>
      <c r="G500" s="23">
        <v>2.7875720823813781</v>
      </c>
      <c r="H500" s="24">
        <v>0.49644777418445507</v>
      </c>
      <c r="I500" s="25">
        <v>0.1422197385316257</v>
      </c>
    </row>
    <row r="501" spans="1:9" x14ac:dyDescent="0.2">
      <c r="A501" s="26"/>
      <c r="G501" s="23">
        <v>2.6844250855006315</v>
      </c>
      <c r="H501" s="24">
        <v>0.48068658124094116</v>
      </c>
      <c r="I501" s="25">
        <v>0.14181307640396637</v>
      </c>
    </row>
    <row r="502" spans="1:9" x14ac:dyDescent="0.2">
      <c r="A502" s="26"/>
      <c r="G502" s="23">
        <v>2.2515030204686939</v>
      </c>
      <c r="H502" s="24">
        <v>0.40475681222479448</v>
      </c>
      <c r="I502" s="25">
        <v>0.13535705169573228</v>
      </c>
    </row>
    <row r="503" spans="1:9" x14ac:dyDescent="0.2">
      <c r="A503" s="26"/>
      <c r="G503" s="23">
        <v>4.0978667876367831</v>
      </c>
      <c r="H503" s="24">
        <v>0.67089433295539513</v>
      </c>
      <c r="I503" s="25">
        <v>0.1393150048673277</v>
      </c>
    </row>
    <row r="504" spans="1:9" x14ac:dyDescent="0.2">
      <c r="A504" s="26"/>
      <c r="G504" s="23">
        <v>2.2811680018224152</v>
      </c>
      <c r="H504" s="24">
        <v>0.41078725047178671</v>
      </c>
      <c r="I504" s="25">
        <v>0.13624040348338395</v>
      </c>
    </row>
    <row r="505" spans="1:9" x14ac:dyDescent="0.2">
      <c r="A505" s="26"/>
      <c r="G505" s="23">
        <v>2.7184323072830368</v>
      </c>
      <c r="H505" s="24">
        <v>0.48594632643126584</v>
      </c>
      <c r="I505" s="25">
        <v>0.1419738589433141</v>
      </c>
    </row>
    <row r="506" spans="1:9" x14ac:dyDescent="0.2">
      <c r="A506" s="26"/>
      <c r="G506" s="23">
        <v>1.9790281612265062</v>
      </c>
      <c r="H506" s="24">
        <v>0.33096938970332951</v>
      </c>
      <c r="I506" s="25">
        <v>0.11670848992369554</v>
      </c>
    </row>
    <row r="507" spans="1:9" x14ac:dyDescent="0.2">
      <c r="A507" s="26"/>
      <c r="G507" s="23">
        <v>2.0937497771667637</v>
      </c>
      <c r="H507" s="24">
        <v>0.36816410564543794</v>
      </c>
      <c r="I507" s="25">
        <v>0.1280783917351376</v>
      </c>
    </row>
    <row r="508" spans="1:9" x14ac:dyDescent="0.2">
      <c r="A508" s="26"/>
      <c r="G508" s="23">
        <v>2.167094024265384</v>
      </c>
      <c r="H508" s="24">
        <v>0.38634107354078134</v>
      </c>
      <c r="I508" s="25">
        <v>0.13213135602075735</v>
      </c>
    </row>
    <row r="509" spans="1:9" x14ac:dyDescent="0.2">
      <c r="A509" s="26"/>
      <c r="G509" s="23">
        <v>4.2225316724638917</v>
      </c>
      <c r="H509" s="24">
        <v>0.68624076940349055</v>
      </c>
      <c r="I509" s="25">
        <v>0.13883632223208328</v>
      </c>
    </row>
    <row r="510" spans="1:9" x14ac:dyDescent="0.2">
      <c r="A510" s="26"/>
      <c r="G510" s="23">
        <v>3.1760756337813834</v>
      </c>
      <c r="H510" s="24">
        <v>0.55191869706336505</v>
      </c>
      <c r="I510" s="25">
        <v>0.14228839224310347</v>
      </c>
    </row>
    <row r="511" spans="1:9" x14ac:dyDescent="0.2">
      <c r="A511" s="26"/>
      <c r="G511" s="23">
        <v>2.7530045678179405</v>
      </c>
      <c r="H511" s="24">
        <v>0.49122804457567693</v>
      </c>
      <c r="I511" s="25">
        <v>0.14210947837099019</v>
      </c>
    </row>
    <row r="512" spans="1:9" x14ac:dyDescent="0.2">
      <c r="A512" s="26"/>
      <c r="G512" s="23">
        <v>2.4858431846765545</v>
      </c>
      <c r="H512" s="24">
        <v>0.44839146561131527</v>
      </c>
      <c r="I512" s="25">
        <v>0.14015021794970148</v>
      </c>
    </row>
    <row r="513" spans="1:9" x14ac:dyDescent="0.2">
      <c r="A513" s="26"/>
      <c r="G513" s="23">
        <v>2.1229419323926297</v>
      </c>
      <c r="H513" s="24">
        <v>0.17320925507200077</v>
      </c>
      <c r="I513" s="25">
        <v>3.4484812073675167E-2</v>
      </c>
    </row>
    <row r="514" spans="1:9" x14ac:dyDescent="0.2">
      <c r="A514" s="26"/>
      <c r="G514" s="23">
        <v>2.4846570639937817</v>
      </c>
      <c r="H514" s="24">
        <v>0.44818868673398066</v>
      </c>
      <c r="I514" s="25">
        <v>0.14013551016340015</v>
      </c>
    </row>
    <row r="515" spans="1:9" x14ac:dyDescent="0.2">
      <c r="A515" s="26"/>
      <c r="G515" s="23">
        <v>2.1296216191632582</v>
      </c>
      <c r="H515" s="24">
        <v>0.17154560288418313</v>
      </c>
      <c r="I515" s="25">
        <v>3.3595452239153042E-2</v>
      </c>
    </row>
    <row r="516" spans="1:9" x14ac:dyDescent="0.2">
      <c r="A516" s="26"/>
      <c r="G516" s="23">
        <v>4.1871554006386775</v>
      </c>
      <c r="H516" s="24">
        <v>0.68189828698119237</v>
      </c>
      <c r="I516" s="25">
        <v>0.13897222095036593</v>
      </c>
    </row>
    <row r="517" spans="1:9" x14ac:dyDescent="0.2">
      <c r="A517" s="26"/>
      <c r="G517" s="23">
        <v>3.2191015751830165</v>
      </c>
      <c r="H517" s="24">
        <v>0.55778593773586149</v>
      </c>
      <c r="I517" s="25">
        <v>0.14220922377067854</v>
      </c>
    </row>
    <row r="518" spans="1:9" x14ac:dyDescent="0.2">
      <c r="A518" s="26"/>
      <c r="G518" s="23">
        <v>2.7473800445153622</v>
      </c>
      <c r="H518" s="24">
        <v>0.49037305923109514</v>
      </c>
      <c r="I518" s="25">
        <v>0.14208920914319331</v>
      </c>
    </row>
    <row r="519" spans="1:9" x14ac:dyDescent="0.2">
      <c r="A519" s="26"/>
      <c r="G519" s="23">
        <v>1.9180970828609816</v>
      </c>
      <c r="H519" s="24">
        <v>0.25565443897966555</v>
      </c>
      <c r="I519" s="25">
        <v>8.1150447951977234E-2</v>
      </c>
    </row>
    <row r="520" spans="1:9" x14ac:dyDescent="0.2">
      <c r="A520" s="26"/>
      <c r="G520" s="23">
        <v>2.3038109311556263</v>
      </c>
      <c r="H520" s="24">
        <v>0.41526675383236616</v>
      </c>
      <c r="I520" s="25">
        <v>0.13684575764388246</v>
      </c>
    </row>
    <row r="521" spans="1:9" x14ac:dyDescent="0.2">
      <c r="A521" s="26"/>
      <c r="G521" s="23">
        <v>2.0180893052671349</v>
      </c>
      <c r="H521" s="24">
        <v>0.34559596942184417</v>
      </c>
      <c r="I521" s="25">
        <v>0.12169727439253164</v>
      </c>
    </row>
    <row r="522" spans="1:9" x14ac:dyDescent="0.2">
      <c r="A522" s="26"/>
      <c r="G522" s="23">
        <v>3.0571887176263388</v>
      </c>
      <c r="H522" s="24">
        <v>0.53546199699904939</v>
      </c>
      <c r="I522" s="25">
        <v>0.14243870291626437</v>
      </c>
    </row>
    <row r="523" spans="1:9" x14ac:dyDescent="0.2">
      <c r="A523" s="26"/>
      <c r="G523" s="23">
        <v>1.9386839400534981</v>
      </c>
      <c r="H523" s="24">
        <v>0.31056065622450657</v>
      </c>
      <c r="I523" s="25">
        <v>0.10861009903892845</v>
      </c>
    </row>
    <row r="524" spans="1:9" x14ac:dyDescent="0.2">
      <c r="A524" s="26"/>
      <c r="G524" s="23">
        <v>1.9241922800855318</v>
      </c>
      <c r="H524" s="24">
        <v>0.29963616812698846</v>
      </c>
      <c r="I524" s="25">
        <v>0.1037506327735596</v>
      </c>
    </row>
    <row r="525" spans="1:9" x14ac:dyDescent="0.2">
      <c r="A525" s="26"/>
      <c r="G525" s="23">
        <v>2.0829175676240723</v>
      </c>
      <c r="H525" s="24">
        <v>0.36523145388098466</v>
      </c>
      <c r="I525" s="25">
        <v>0.12733650938160307</v>
      </c>
    </row>
    <row r="526" spans="1:9" x14ac:dyDescent="0.2">
      <c r="A526" s="26"/>
      <c r="G526" s="23">
        <v>3.0117255277797104</v>
      </c>
      <c r="H526" s="24">
        <v>0.52906316180235524</v>
      </c>
      <c r="I526" s="25">
        <v>0.14246423067262406</v>
      </c>
    </row>
    <row r="527" spans="1:9" x14ac:dyDescent="0.2">
      <c r="A527" s="26"/>
      <c r="G527" s="23">
        <v>2.2097364714700367</v>
      </c>
      <c r="H527" s="24">
        <v>0.39590612277372683</v>
      </c>
      <c r="I527" s="25">
        <v>0.13391014046428709</v>
      </c>
    </row>
    <row r="528" spans="1:9" x14ac:dyDescent="0.2">
      <c r="A528" s="26"/>
      <c r="G528" s="23">
        <v>2.8250764792139043</v>
      </c>
      <c r="H528" s="24">
        <v>0.5020465901050063</v>
      </c>
      <c r="I528" s="25">
        <v>0.14231352374812956</v>
      </c>
    </row>
    <row r="529" spans="1:9" x14ac:dyDescent="0.2">
      <c r="A529" s="26"/>
      <c r="G529" s="23">
        <v>2.1013224975295186</v>
      </c>
      <c r="H529" s="24">
        <v>0.1787537367382869</v>
      </c>
      <c r="I529" s="25">
        <v>3.7478176405934795E-2</v>
      </c>
    </row>
    <row r="530" spans="1:9" x14ac:dyDescent="0.2">
      <c r="A530" s="26"/>
      <c r="G530" s="23">
        <v>1.9724860409251119</v>
      </c>
      <c r="H530" s="24">
        <v>0.3281645813888408</v>
      </c>
      <c r="I530" s="25">
        <v>0.11567360942727567</v>
      </c>
    </row>
    <row r="531" spans="1:9" x14ac:dyDescent="0.2">
      <c r="A531" s="26"/>
      <c r="G531" s="23">
        <v>2.355194903274934</v>
      </c>
      <c r="H531" s="24">
        <v>0.4250893664883944</v>
      </c>
      <c r="I531" s="25">
        <v>0.13803076957505156</v>
      </c>
    </row>
    <row r="532" spans="1:9" x14ac:dyDescent="0.2">
      <c r="A532" s="26"/>
      <c r="G532" s="23">
        <v>2.0747671731399948</v>
      </c>
      <c r="H532" s="24">
        <v>0.36297126687169529</v>
      </c>
      <c r="I532" s="25">
        <v>0.12674736172136034</v>
      </c>
    </row>
    <row r="533" spans="1:9" x14ac:dyDescent="0.2">
      <c r="A533" s="26"/>
      <c r="G533" s="23">
        <v>2.1187047554626441</v>
      </c>
      <c r="H533" s="24">
        <v>0.17427613148363044</v>
      </c>
      <c r="I533" s="25">
        <v>3.5057329154526418E-2</v>
      </c>
    </row>
    <row r="534" spans="1:9" x14ac:dyDescent="0.2">
      <c r="A534" s="26"/>
      <c r="G534" s="23">
        <v>4.3569773277730777</v>
      </c>
      <c r="H534" s="24">
        <v>0.70266123240792888</v>
      </c>
      <c r="I534" s="25">
        <v>0.13832094720259716</v>
      </c>
    </row>
    <row r="535" spans="1:9" x14ac:dyDescent="0.2">
      <c r="A535" s="26"/>
      <c r="G535" s="23">
        <v>5.1406956159432351</v>
      </c>
      <c r="H535" s="24">
        <v>0.79634417309506045</v>
      </c>
      <c r="I535" s="25">
        <v>0.1354571878259663</v>
      </c>
    </row>
    <row r="536" spans="1:9" x14ac:dyDescent="0.2">
      <c r="A536" s="26"/>
      <c r="G536" s="23">
        <v>1.9225825756695234</v>
      </c>
      <c r="H536" s="24">
        <v>0.25080348833241378</v>
      </c>
      <c r="I536" s="25">
        <v>7.8437976475357163E-2</v>
      </c>
    </row>
    <row r="537" spans="1:9" x14ac:dyDescent="0.2">
      <c r="A537" s="26"/>
      <c r="G537" s="23">
        <v>1.9229453975882274</v>
      </c>
      <c r="H537" s="24">
        <v>0.29846990808411644</v>
      </c>
      <c r="I537" s="25">
        <v>0.10321141039309945</v>
      </c>
    </row>
    <row r="538" spans="1:9" x14ac:dyDescent="0.2">
      <c r="A538" s="26"/>
      <c r="G538" s="23">
        <v>2.6021263619771724</v>
      </c>
      <c r="H538" s="24">
        <v>0.46766166645371293</v>
      </c>
      <c r="I538" s="25">
        <v>0.14129277898873313</v>
      </c>
    </row>
    <row r="539" spans="1:9" x14ac:dyDescent="0.2">
      <c r="A539" s="26"/>
      <c r="G539" s="23">
        <v>2.4685997386401493</v>
      </c>
      <c r="H539" s="24">
        <v>0.44542954708777704</v>
      </c>
      <c r="I539" s="25">
        <v>0.13992934544663929</v>
      </c>
    </row>
    <row r="540" spans="1:9" x14ac:dyDescent="0.2">
      <c r="A540" s="26"/>
      <c r="G540" s="23">
        <v>4.5756805250588739</v>
      </c>
      <c r="H540" s="24">
        <v>0.72912117482686412</v>
      </c>
      <c r="I540" s="25">
        <v>0.13749237296864236</v>
      </c>
    </row>
    <row r="541" spans="1:9" x14ac:dyDescent="0.2">
      <c r="A541" s="26"/>
      <c r="G541" s="23">
        <v>3.7486120584534586</v>
      </c>
      <c r="H541" s="24">
        <v>0.62715130649080186</v>
      </c>
      <c r="I541" s="25">
        <v>0.14062572941147963</v>
      </c>
    </row>
    <row r="542" spans="1:9" x14ac:dyDescent="0.2">
      <c r="A542" s="26"/>
      <c r="G542" s="23">
        <v>4.8016725329526162</v>
      </c>
      <c r="H542" s="24">
        <v>0.75618349609476088</v>
      </c>
      <c r="I542" s="25">
        <v>0.13665727725108906</v>
      </c>
    </row>
    <row r="543" spans="1:9" x14ac:dyDescent="0.2">
      <c r="A543" s="26"/>
      <c r="G543" s="23">
        <v>3.3840601924048128</v>
      </c>
      <c r="H543" s="24">
        <v>0.57990798410152944</v>
      </c>
      <c r="I543" s="25">
        <v>0.14181425723115657</v>
      </c>
    </row>
    <row r="544" spans="1:9" x14ac:dyDescent="0.2">
      <c r="A544" s="26"/>
      <c r="G544" s="23">
        <v>2.0151320852195167</v>
      </c>
      <c r="H544" s="24">
        <v>0.34458633476714634</v>
      </c>
      <c r="I544" s="25">
        <v>0.12137483943162287</v>
      </c>
    </row>
    <row r="545" spans="1:9" x14ac:dyDescent="0.2">
      <c r="A545" s="26"/>
      <c r="G545" s="23">
        <v>2.0311142274009213</v>
      </c>
      <c r="H545" s="24">
        <v>0.34989866265979852</v>
      </c>
      <c r="I545" s="25">
        <v>0.12303525710095621</v>
      </c>
    </row>
    <row r="546" spans="1:9" x14ac:dyDescent="0.2">
      <c r="A546" s="26"/>
      <c r="G546" s="23">
        <v>2.1388882866417749</v>
      </c>
      <c r="H546" s="24">
        <v>0.16927279977011239</v>
      </c>
      <c r="I546" s="25">
        <v>3.2387291432017747E-2</v>
      </c>
    </row>
    <row r="547" spans="1:9" x14ac:dyDescent="0.2">
      <c r="A547" s="26"/>
      <c r="G547" s="23">
        <v>2.5222596192098665</v>
      </c>
      <c r="H547" s="24">
        <v>0.45455156498208665</v>
      </c>
      <c r="I547" s="25">
        <v>0.14056902025138823</v>
      </c>
    </row>
    <row r="548" spans="1:9" x14ac:dyDescent="0.2">
      <c r="A548" s="26"/>
      <c r="G548" s="23">
        <v>3.7913166336956152</v>
      </c>
      <c r="H548" s="24">
        <v>0.63256808513607488</v>
      </c>
      <c r="I548" s="25">
        <v>0.14047048429369349</v>
      </c>
    </row>
    <row r="549" spans="1:9" x14ac:dyDescent="0.2">
      <c r="A549" s="26"/>
      <c r="G549" s="23">
        <v>4.0672633947491104</v>
      </c>
      <c r="H549" s="24">
        <v>0.66710766835637281</v>
      </c>
      <c r="I549" s="25">
        <v>0.13943224517949834</v>
      </c>
    </row>
    <row r="550" spans="1:9" x14ac:dyDescent="0.2">
      <c r="A550" s="26"/>
      <c r="G550" s="23">
        <v>2.2621301427576022</v>
      </c>
      <c r="H550" s="24">
        <v>0.40693957041207557</v>
      </c>
      <c r="I550" s="25">
        <v>0.13568607885123321</v>
      </c>
    </row>
    <row r="551" spans="1:9" x14ac:dyDescent="0.2">
      <c r="A551" s="26"/>
      <c r="G551" s="23">
        <v>2.1649467045405739</v>
      </c>
      <c r="H551" s="24">
        <v>0.38584285292464665</v>
      </c>
      <c r="I551" s="25">
        <v>0.13203228090327959</v>
      </c>
    </row>
    <row r="552" spans="1:9" x14ac:dyDescent="0.2">
      <c r="A552" s="26"/>
      <c r="G552" s="23">
        <v>1.9115100724259697</v>
      </c>
      <c r="H552" s="24">
        <v>0.28167793422176324</v>
      </c>
      <c r="I552" s="25">
        <v>9.5044193254536599E-2</v>
      </c>
    </row>
    <row r="553" spans="1:9" x14ac:dyDescent="0.2">
      <c r="A553" s="26"/>
      <c r="G553" s="23">
        <v>3.1099845583404675</v>
      </c>
      <c r="H553" s="24">
        <v>0.54281699845680176</v>
      </c>
      <c r="I553" s="25">
        <v>0.14238559345226434</v>
      </c>
    </row>
    <row r="554" spans="1:9" x14ac:dyDescent="0.2">
      <c r="A554" s="26"/>
      <c r="G554" s="23">
        <v>3.8148579591857348</v>
      </c>
      <c r="H554" s="24">
        <v>0.63554521675266462</v>
      </c>
      <c r="I554" s="25">
        <v>0.14038405125229311</v>
      </c>
    </row>
    <row r="555" spans="1:9" x14ac:dyDescent="0.2">
      <c r="A555" s="26"/>
      <c r="G555" s="23">
        <v>2.0166215929558331</v>
      </c>
      <c r="H555" s="24">
        <v>0.20382689414417926</v>
      </c>
      <c r="I555" s="25">
        <v>5.1485560313712805E-2</v>
      </c>
    </row>
    <row r="556" spans="1:9" x14ac:dyDescent="0.2">
      <c r="A556" s="26"/>
      <c r="G556" s="23">
        <v>2.3613816631035469</v>
      </c>
      <c r="H556" s="24">
        <v>0.426243190599216</v>
      </c>
      <c r="I556" s="25">
        <v>0.138157754930781</v>
      </c>
    </row>
    <row r="557" spans="1:9" x14ac:dyDescent="0.2">
      <c r="A557" s="26"/>
      <c r="G557" s="23">
        <v>2.1467828713749539</v>
      </c>
      <c r="H557" s="24">
        <v>0.38155638076198117</v>
      </c>
      <c r="I557" s="25">
        <v>0.131152704368065</v>
      </c>
    </row>
    <row r="558" spans="1:9" x14ac:dyDescent="0.2">
      <c r="A558" s="26"/>
      <c r="G558" s="23">
        <v>1.9395964641123469</v>
      </c>
      <c r="H558" s="24">
        <v>0.23778126982238504</v>
      </c>
      <c r="I558" s="25">
        <v>7.1036048416042191E-2</v>
      </c>
    </row>
    <row r="559" spans="1:9" x14ac:dyDescent="0.2">
      <c r="A559" s="26"/>
      <c r="G559" s="23">
        <v>2.0312255469184879</v>
      </c>
      <c r="H559" s="24">
        <v>0.34993449495439621</v>
      </c>
      <c r="I559" s="25">
        <v>0.12304615498926169</v>
      </c>
    </row>
    <row r="560" spans="1:9" x14ac:dyDescent="0.2">
      <c r="A560" s="26"/>
      <c r="G560" s="23">
        <v>1.9306923703312744</v>
      </c>
      <c r="H560" s="24">
        <v>0.30501291603706576</v>
      </c>
      <c r="I560" s="25">
        <v>0.10618621469549437</v>
      </c>
    </row>
    <row r="561" spans="1:9" x14ac:dyDescent="0.2">
      <c r="A561" s="26"/>
      <c r="G561" s="23">
        <v>2.1641134542857148</v>
      </c>
      <c r="H561" s="24">
        <v>0.1632743309525756</v>
      </c>
      <c r="I561" s="25">
        <v>2.9237990890520916E-2</v>
      </c>
    </row>
    <row r="562" spans="1:9" x14ac:dyDescent="0.2">
      <c r="A562" s="26"/>
      <c r="G562" s="23">
        <v>3.9090285893249486</v>
      </c>
      <c r="H562" s="24">
        <v>0.64739444579402705</v>
      </c>
      <c r="I562" s="25">
        <v>0.14003336936413674</v>
      </c>
    </row>
    <row r="563" spans="1:9" x14ac:dyDescent="0.2">
      <c r="A563" s="26"/>
      <c r="G563" s="23">
        <v>2.4711615738419375</v>
      </c>
      <c r="H563" s="24">
        <v>0.44587152048394713</v>
      </c>
      <c r="I563" s="25">
        <v>0.13996313420174358</v>
      </c>
    </row>
    <row r="564" spans="1:9" x14ac:dyDescent="0.2">
      <c r="A564" s="26"/>
      <c r="G564" s="23">
        <v>2.2849439718154625</v>
      </c>
      <c r="H564" s="24">
        <v>0.13738206328589</v>
      </c>
      <c r="I564" s="25">
        <v>1.6360165613195591E-2</v>
      </c>
    </row>
    <row r="565" spans="1:9" x14ac:dyDescent="0.2">
      <c r="A565" s="26"/>
      <c r="G565" s="23">
        <v>4.8920076313208094</v>
      </c>
      <c r="H565" s="24">
        <v>0.76693192665650178</v>
      </c>
      <c r="I565" s="25">
        <v>0.13633092493486534</v>
      </c>
    </row>
    <row r="566" spans="1:9" x14ac:dyDescent="0.2">
      <c r="A566" s="26"/>
      <c r="G566" s="23">
        <v>5.0898632236942873</v>
      </c>
      <c r="H566" s="24">
        <v>0.79035203192041148</v>
      </c>
      <c r="I566" s="25">
        <v>0.13563272726398118</v>
      </c>
    </row>
    <row r="567" spans="1:9" x14ac:dyDescent="0.2">
      <c r="A567" s="26"/>
      <c r="G567" s="23">
        <v>2.6446471499300532</v>
      </c>
      <c r="H567" s="24">
        <v>0.47444653297280853</v>
      </c>
      <c r="I567" s="25">
        <v>0.14158657478847261</v>
      </c>
    </row>
    <row r="568" spans="1:9" x14ac:dyDescent="0.2">
      <c r="A568" s="26"/>
      <c r="G568" s="23">
        <v>2.6839918335123665</v>
      </c>
      <c r="H568" s="24">
        <v>0.48061913912769805</v>
      </c>
      <c r="I568" s="25">
        <v>0.14181084043742798</v>
      </c>
    </row>
    <row r="569" spans="1:9" x14ac:dyDescent="0.2">
      <c r="A569" s="26"/>
      <c r="G569" s="23">
        <v>2.7126954526180636</v>
      </c>
      <c r="H569" s="24">
        <v>0.48506363940212521</v>
      </c>
      <c r="I569" s="25">
        <v>0.14194871655805605</v>
      </c>
    </row>
    <row r="570" spans="1:9" x14ac:dyDescent="0.2">
      <c r="A570" s="26"/>
      <c r="G570" s="23">
        <v>3.0695412051444833</v>
      </c>
      <c r="H570" s="24">
        <v>0.53718990795584043</v>
      </c>
      <c r="I570" s="25">
        <v>0.14242842081188017</v>
      </c>
    </row>
    <row r="571" spans="1:9" x14ac:dyDescent="0.2">
      <c r="A571" s="26"/>
      <c r="G571" s="23">
        <v>4.6686980846289154</v>
      </c>
      <c r="H571" s="24">
        <v>0.74029156434787102</v>
      </c>
      <c r="I571" s="25">
        <v>0.13714563487534823</v>
      </c>
    </row>
    <row r="572" spans="1:9" x14ac:dyDescent="0.2">
      <c r="A572" s="26"/>
      <c r="G572" s="23">
        <v>2.1476042660930132</v>
      </c>
      <c r="H572" s="24">
        <v>0.38175312447257764</v>
      </c>
      <c r="I572" s="25">
        <v>0.13119415314583788</v>
      </c>
    </row>
    <row r="573" spans="1:9" x14ac:dyDescent="0.2">
      <c r="A573" s="26"/>
      <c r="G573" s="23">
        <v>2.0444776436394321</v>
      </c>
      <c r="H573" s="24">
        <v>0.1948250573075293</v>
      </c>
      <c r="I573" s="25">
        <v>4.6381067610312646E-2</v>
      </c>
    </row>
    <row r="574" spans="1:9" x14ac:dyDescent="0.2">
      <c r="A574" s="26"/>
      <c r="G574" s="23">
        <v>4.1864514492709732</v>
      </c>
      <c r="H574" s="24">
        <v>0.68181177909007329</v>
      </c>
      <c r="I574" s="25">
        <v>0.13897492533951961</v>
      </c>
    </row>
    <row r="575" spans="1:9" x14ac:dyDescent="0.2">
      <c r="A575" s="26"/>
      <c r="G575" s="23">
        <v>2.5010210672998738</v>
      </c>
      <c r="H575" s="24">
        <v>0.45097412276231569</v>
      </c>
      <c r="I575" s="25">
        <v>0.14033233300634071</v>
      </c>
    </row>
    <row r="576" spans="1:9" x14ac:dyDescent="0.2">
      <c r="A576" s="26"/>
      <c r="G576" s="23">
        <v>2.0281643004006868</v>
      </c>
      <c r="H576" s="24">
        <v>0.19997982187072391</v>
      </c>
      <c r="I576" s="25">
        <v>4.9295720450683235E-2</v>
      </c>
    </row>
    <row r="577" spans="1:9" x14ac:dyDescent="0.2">
      <c r="A577" s="26"/>
      <c r="G577" s="23">
        <v>4.2466963842853431</v>
      </c>
      <c r="H577" s="24">
        <v>0.68920162362098114</v>
      </c>
      <c r="I577" s="25">
        <v>0.1387435240982077</v>
      </c>
    </row>
    <row r="578" spans="1:9" x14ac:dyDescent="0.2">
      <c r="A578" s="26"/>
      <c r="G578" s="23">
        <v>1.9485732356028782</v>
      </c>
      <c r="H578" s="24">
        <v>0.23247583268745295</v>
      </c>
      <c r="I578" s="25">
        <v>6.7986067332157271E-2</v>
      </c>
    </row>
    <row r="579" spans="1:9" x14ac:dyDescent="0.2">
      <c r="A579" s="26"/>
      <c r="G579" s="23">
        <v>2.0031031091597375</v>
      </c>
      <c r="H579" s="24">
        <v>0.2085868780104381</v>
      </c>
      <c r="I579" s="25">
        <v>5.4209329526662284E-2</v>
      </c>
    </row>
    <row r="580" spans="1:9" x14ac:dyDescent="0.2">
      <c r="A580" s="26"/>
      <c r="G580" s="23">
        <v>2.0693554132958933</v>
      </c>
      <c r="H580" s="24">
        <v>0.36144313567707392</v>
      </c>
      <c r="I580" s="25">
        <v>0.1263403727108208</v>
      </c>
    </row>
    <row r="581" spans="1:9" x14ac:dyDescent="0.2">
      <c r="A581" s="26"/>
      <c r="G581" s="23">
        <v>2.2588863866408242</v>
      </c>
      <c r="H581" s="24">
        <v>0.40627606528514004</v>
      </c>
      <c r="I581" s="25">
        <v>0.13558719270095082</v>
      </c>
    </row>
    <row r="582" spans="1:9" x14ac:dyDescent="0.2">
      <c r="A582" s="26"/>
      <c r="G582" s="23">
        <v>3.7456953582810089</v>
      </c>
      <c r="H582" s="24">
        <v>0.62678056314046182</v>
      </c>
      <c r="I582" s="25">
        <v>0.1406362534224081</v>
      </c>
    </row>
    <row r="583" spans="1:9" x14ac:dyDescent="0.2">
      <c r="A583" s="26"/>
      <c r="G583" s="23">
        <v>4.0739190711971407</v>
      </c>
      <c r="H583" s="24">
        <v>0.66793187742411519</v>
      </c>
      <c r="I583" s="25">
        <v>0.13940676434868637</v>
      </c>
    </row>
    <row r="584" spans="1:9" x14ac:dyDescent="0.2">
      <c r="A584" s="26"/>
      <c r="G584" s="23">
        <v>2.2933732655216081</v>
      </c>
      <c r="H584" s="24">
        <v>0.1357090613958695</v>
      </c>
      <c r="I584" s="25">
        <v>1.5570539886637973E-2</v>
      </c>
    </row>
    <row r="585" spans="1:9" x14ac:dyDescent="0.2">
      <c r="A585" s="26"/>
      <c r="G585" s="23">
        <v>3.3237211425745352</v>
      </c>
      <c r="H585" s="24">
        <v>0.57188008429790016</v>
      </c>
      <c r="I585" s="25">
        <v>0.14197342754280176</v>
      </c>
    </row>
    <row r="586" spans="1:9" x14ac:dyDescent="0.2">
      <c r="A586" s="26"/>
      <c r="G586" s="23">
        <v>2.6806603329827059</v>
      </c>
      <c r="H586" s="24">
        <v>0.480100167235046</v>
      </c>
      <c r="I586" s="25">
        <v>0.14179348314599843</v>
      </c>
    </row>
    <row r="587" spans="1:9" x14ac:dyDescent="0.2">
      <c r="A587" s="26"/>
      <c r="G587" s="23">
        <v>3.555125649027719</v>
      </c>
      <c r="H587" s="24">
        <v>0.60232108152235564</v>
      </c>
      <c r="I587" s="25">
        <v>0.14129488789506436</v>
      </c>
    </row>
    <row r="588" spans="1:9" x14ac:dyDescent="0.2">
      <c r="A588" s="26"/>
      <c r="G588" s="23">
        <v>3.4332997823517828</v>
      </c>
      <c r="H588" s="24">
        <v>0.58640946998183452</v>
      </c>
      <c r="I588" s="25">
        <v>0.14167404518300811</v>
      </c>
    </row>
    <row r="589" spans="1:9" x14ac:dyDescent="0.2">
      <c r="A589" s="26"/>
      <c r="G589" s="23">
        <v>3.262516074050728</v>
      </c>
      <c r="H589" s="24">
        <v>0.56366309988695806</v>
      </c>
      <c r="I589" s="25">
        <v>0.14211825715885579</v>
      </c>
    </row>
    <row r="590" spans="1:9" x14ac:dyDescent="0.2">
      <c r="A590" s="26"/>
      <c r="G590" s="23">
        <v>4.045167799704771</v>
      </c>
      <c r="H590" s="24">
        <v>0.66436869756628747</v>
      </c>
      <c r="I590" s="25">
        <v>0.13951675777636732</v>
      </c>
    </row>
    <row r="591" spans="1:9" x14ac:dyDescent="0.2">
      <c r="A591" s="26"/>
      <c r="G591" s="23">
        <v>2.6383789202330132</v>
      </c>
      <c r="H591" s="24">
        <v>0.47345404784907708</v>
      </c>
      <c r="I591" s="25">
        <v>0.14154678219077746</v>
      </c>
    </row>
    <row r="592" spans="1:9" x14ac:dyDescent="0.2">
      <c r="A592" s="26"/>
      <c r="G592" s="23">
        <v>2.4374064658996892</v>
      </c>
      <c r="H592" s="24">
        <v>0.4399913925324892</v>
      </c>
      <c r="I592" s="25">
        <v>0.1394890002135431</v>
      </c>
    </row>
    <row r="593" spans="1:9" x14ac:dyDescent="0.2">
      <c r="A593" s="26"/>
      <c r="G593" s="23">
        <v>3.0961480150765683</v>
      </c>
      <c r="H593" s="24">
        <v>0.54089696263580811</v>
      </c>
      <c r="I593" s="25">
        <v>0.14240177116816186</v>
      </c>
    </row>
    <row r="594" spans="1:9" x14ac:dyDescent="0.2">
      <c r="A594" s="26"/>
      <c r="G594" s="23">
        <v>2.1854554826002146</v>
      </c>
      <c r="H594" s="24">
        <v>0.39053338625688683</v>
      </c>
      <c r="I594" s="25">
        <v>0.132939511731028</v>
      </c>
    </row>
    <row r="595" spans="1:9" x14ac:dyDescent="0.2">
      <c r="A595" s="26"/>
      <c r="G595" s="23">
        <v>3.6346357428719629</v>
      </c>
      <c r="H595" s="24">
        <v>0.61258511700100549</v>
      </c>
      <c r="I595" s="25">
        <v>0.14102791910197374</v>
      </c>
    </row>
    <row r="596" spans="1:9" x14ac:dyDescent="0.2">
      <c r="A596" s="26"/>
      <c r="G596" s="23">
        <v>3.3637425945283486</v>
      </c>
      <c r="H596" s="24">
        <v>0.57721251218383451</v>
      </c>
      <c r="I596" s="25">
        <v>0.14186950912057864</v>
      </c>
    </row>
    <row r="597" spans="1:9" x14ac:dyDescent="0.2">
      <c r="A597" s="26"/>
      <c r="G597" s="23">
        <v>2.971936951814695</v>
      </c>
      <c r="H597" s="24">
        <v>0.52340952495139104</v>
      </c>
      <c r="I597" s="25">
        <v>0.14246921463213974</v>
      </c>
    </row>
    <row r="598" spans="1:9" x14ac:dyDescent="0.2">
      <c r="A598" s="26"/>
      <c r="G598" s="23">
        <v>1.9489773956043774</v>
      </c>
      <c r="H598" s="24">
        <v>0.3166712709963197</v>
      </c>
      <c r="I598" s="25">
        <v>0.1111717714093928</v>
      </c>
    </row>
    <row r="599" spans="1:9" x14ac:dyDescent="0.2">
      <c r="A599" s="26"/>
      <c r="G599" s="23">
        <v>2.9146862257499331</v>
      </c>
      <c r="H599" s="24">
        <v>0.51517967586707747</v>
      </c>
      <c r="I599" s="25">
        <v>0.14244403761510824</v>
      </c>
    </row>
    <row r="600" spans="1:9" x14ac:dyDescent="0.2">
      <c r="A600" s="26"/>
      <c r="G600" s="23">
        <v>1.9133789931570089</v>
      </c>
      <c r="H600" s="24">
        <v>0.2861899535534918</v>
      </c>
      <c r="I600" s="25">
        <v>9.730949944013377E-2</v>
      </c>
    </row>
    <row r="601" spans="1:9" x14ac:dyDescent="0.2">
      <c r="A601" s="26"/>
      <c r="G601" s="23">
        <v>4.7434508546651877</v>
      </c>
      <c r="H601" s="24">
        <v>0.74923601338095835</v>
      </c>
      <c r="I601" s="25">
        <v>0.13686997752961183</v>
      </c>
    </row>
    <row r="602" spans="1:9" x14ac:dyDescent="0.2">
      <c r="A602" s="26"/>
      <c r="G602" s="23">
        <v>3.1230995040372544</v>
      </c>
      <c r="H602" s="24">
        <v>0.5446321272118122</v>
      </c>
      <c r="I602" s="25">
        <v>0.1423688630947931</v>
      </c>
    </row>
    <row r="603" spans="1:9" x14ac:dyDescent="0.2">
      <c r="A603" s="26"/>
      <c r="G603" s="23">
        <v>2.8688536575758308</v>
      </c>
      <c r="H603" s="24">
        <v>0.50850333390828939</v>
      </c>
      <c r="I603" s="25">
        <v>0.14239253066793126</v>
      </c>
    </row>
    <row r="604" spans="1:9" x14ac:dyDescent="0.2">
      <c r="A604" s="26"/>
      <c r="G604" s="23">
        <v>2.210741039049708</v>
      </c>
      <c r="H604" s="24">
        <v>0.39612454397917474</v>
      </c>
      <c r="I604" s="25">
        <v>0.13394809127727977</v>
      </c>
    </row>
    <row r="605" spans="1:9" x14ac:dyDescent="0.2">
      <c r="A605" s="26"/>
      <c r="G605" s="23">
        <v>4.4890254029708281</v>
      </c>
      <c r="H605" s="24">
        <v>0.71867166891178724</v>
      </c>
      <c r="I605" s="25">
        <v>0.13781870492696152</v>
      </c>
    </row>
    <row r="606" spans="1:9" x14ac:dyDescent="0.2">
      <c r="A606" s="26"/>
      <c r="G606" s="23">
        <v>3.4149685056328907</v>
      </c>
      <c r="H606" s="24">
        <v>0.58399406118960417</v>
      </c>
      <c r="I606" s="25">
        <v>0.14172723962202111</v>
      </c>
    </row>
    <row r="607" spans="1:9" x14ac:dyDescent="0.2">
      <c r="A607" s="26"/>
      <c r="G607" s="23">
        <v>4.7241176719737288</v>
      </c>
      <c r="H607" s="24">
        <v>0.74692540093062099</v>
      </c>
      <c r="I607" s="25">
        <v>0.13694100027999948</v>
      </c>
    </row>
    <row r="608" spans="1:9" x14ac:dyDescent="0.2">
      <c r="A608" s="26"/>
      <c r="G608" s="23">
        <v>2.1068421252071583</v>
      </c>
      <c r="H608" s="24">
        <v>0.17731356730738837</v>
      </c>
      <c r="I608" s="25">
        <v>3.6696421099739633E-2</v>
      </c>
    </row>
    <row r="609" spans="1:9" x14ac:dyDescent="0.2">
      <c r="A609" s="26"/>
      <c r="G609" s="23">
        <v>5.2925948929087401</v>
      </c>
      <c r="H609" s="24">
        <v>0.81419482707170532</v>
      </c>
      <c r="I609" s="25">
        <v>0.13494228068324293</v>
      </c>
    </row>
    <row r="610" spans="1:9" x14ac:dyDescent="0.2">
      <c r="A610" s="26"/>
      <c r="G610" s="23">
        <v>2.309099482591535</v>
      </c>
      <c r="H610" s="24">
        <v>0.41629884757786095</v>
      </c>
      <c r="I610" s="25">
        <v>0.13697930663981536</v>
      </c>
    </row>
    <row r="611" spans="1:9" x14ac:dyDescent="0.2">
      <c r="A611" s="26"/>
      <c r="G611" s="23">
        <v>1.9229204300123564</v>
      </c>
      <c r="H611" s="24">
        <v>0.29844598365955405</v>
      </c>
      <c r="I611" s="25">
        <v>0.10320030879705343</v>
      </c>
    </row>
    <row r="612" spans="1:9" x14ac:dyDescent="0.2">
      <c r="A612" s="26"/>
      <c r="G612" s="23">
        <v>2.135925885142417</v>
      </c>
      <c r="H612" s="24">
        <v>0.37892831638022034</v>
      </c>
      <c r="I612" s="25">
        <v>0.13058894825440356</v>
      </c>
    </row>
    <row r="613" spans="1:9" x14ac:dyDescent="0.2">
      <c r="A613" s="26"/>
      <c r="G613" s="23">
        <v>1.9218449383516782</v>
      </c>
      <c r="H613" s="24">
        <v>0.2515313346122543</v>
      </c>
      <c r="I613" s="25">
        <v>7.8846805014406149E-2</v>
      </c>
    </row>
    <row r="614" spans="1:9" x14ac:dyDescent="0.2">
      <c r="A614" s="26"/>
      <c r="G614" s="23">
        <v>3.9392242035239859</v>
      </c>
      <c r="H614" s="24">
        <v>0.65117456298284793</v>
      </c>
      <c r="I614" s="25">
        <v>0.13991957121903781</v>
      </c>
    </row>
    <row r="615" spans="1:9" x14ac:dyDescent="0.2">
      <c r="A615" s="26"/>
      <c r="G615" s="23">
        <v>2.1475239266347952</v>
      </c>
      <c r="H615" s="24">
        <v>0.16718949181902018</v>
      </c>
      <c r="I615" s="25">
        <v>3.1286957735642593E-2</v>
      </c>
    </row>
    <row r="616" spans="1:9" x14ac:dyDescent="0.2">
      <c r="A616" s="26"/>
      <c r="G616" s="23">
        <v>2.3638508163344909</v>
      </c>
      <c r="H616" s="24">
        <v>0.42670208292357786</v>
      </c>
      <c r="I616" s="25">
        <v>0.13820757180440973</v>
      </c>
    </row>
    <row r="617" spans="1:9" x14ac:dyDescent="0.2">
      <c r="A617" s="26"/>
      <c r="G617" s="23">
        <v>4.4055007313978907</v>
      </c>
      <c r="H617" s="24">
        <v>0.70855735699530442</v>
      </c>
      <c r="I617" s="25">
        <v>0.13813579717919819</v>
      </c>
    </row>
    <row r="618" spans="1:9" x14ac:dyDescent="0.2">
      <c r="A618" s="26"/>
      <c r="G618" s="23">
        <v>4.355858061075164</v>
      </c>
      <c r="H618" s="24">
        <v>0.70252504705857932</v>
      </c>
      <c r="I618" s="25">
        <v>0.13832522481683918</v>
      </c>
    </row>
    <row r="619" spans="1:9" x14ac:dyDescent="0.2">
      <c r="A619" s="26"/>
      <c r="G619" s="23">
        <v>3.5098336720835071</v>
      </c>
      <c r="H619" s="24">
        <v>0.596432981816716</v>
      </c>
      <c r="I619" s="25">
        <v>0.14144059995638122</v>
      </c>
    </row>
    <row r="620" spans="1:9" x14ac:dyDescent="0.2">
      <c r="A620" s="26"/>
      <c r="G620" s="23">
        <v>2.1883936957819565</v>
      </c>
      <c r="H620" s="24">
        <v>0.39119347460925513</v>
      </c>
      <c r="I620" s="25">
        <v>0.13306265398241782</v>
      </c>
    </row>
    <row r="621" spans="1:9" x14ac:dyDescent="0.2">
      <c r="A621" s="26"/>
      <c r="G621" s="23">
        <v>2.5427750056032137</v>
      </c>
      <c r="H621" s="24">
        <v>0.45796888907877403</v>
      </c>
      <c r="I621" s="25">
        <v>0.14077882895649205</v>
      </c>
    </row>
    <row r="622" spans="1:9" x14ac:dyDescent="0.2">
      <c r="A622" s="26"/>
      <c r="G622" s="23">
        <v>2.3700488165084539</v>
      </c>
      <c r="H622" s="24">
        <v>0.42785002740100764</v>
      </c>
      <c r="I622" s="25">
        <v>0.13833049497852909</v>
      </c>
    </row>
    <row r="623" spans="1:9" x14ac:dyDescent="0.2">
      <c r="A623" s="26"/>
      <c r="G623" s="23">
        <v>2.694948189558537</v>
      </c>
      <c r="H623" s="24">
        <v>0.48232125483035465</v>
      </c>
      <c r="I623" s="25">
        <v>0.14186590110397154</v>
      </c>
    </row>
    <row r="624" spans="1:9" x14ac:dyDescent="0.2">
      <c r="A624" s="26"/>
      <c r="G624" s="23">
        <v>2.3212929334966779</v>
      </c>
      <c r="H624" s="24">
        <v>0.41865916408931114</v>
      </c>
      <c r="I624" s="25">
        <v>0.137276583235526</v>
      </c>
    </row>
    <row r="625" spans="1:9" x14ac:dyDescent="0.2">
      <c r="A625" s="26"/>
      <c r="G625" s="23">
        <v>1.9241191997840086</v>
      </c>
      <c r="H625" s="24">
        <v>0.2493540983983544</v>
      </c>
      <c r="I625" s="25">
        <v>7.7622060486171526E-2</v>
      </c>
    </row>
    <row r="626" spans="1:9" x14ac:dyDescent="0.2">
      <c r="A626" s="26"/>
      <c r="G626" s="23">
        <v>5.0284890401890072</v>
      </c>
      <c r="H626" s="24">
        <v>0.78310410007542497</v>
      </c>
      <c r="I626" s="25">
        <v>0.1358467907806423</v>
      </c>
    </row>
    <row r="627" spans="1:9" x14ac:dyDescent="0.2">
      <c r="A627" s="26"/>
      <c r="G627" s="23">
        <v>2.1232973886622668</v>
      </c>
      <c r="H627" s="24">
        <v>0.37580321641537939</v>
      </c>
      <c r="I627" s="25">
        <v>0.1298938228803769</v>
      </c>
    </row>
    <row r="628" spans="1:9" x14ac:dyDescent="0.2">
      <c r="A628" s="26"/>
      <c r="G628" s="23">
        <v>2.1872175243572478</v>
      </c>
      <c r="H628" s="24">
        <v>0.39092958284374435</v>
      </c>
      <c r="I628" s="25">
        <v>0.13301355631700279</v>
      </c>
    </row>
    <row r="629" spans="1:9" x14ac:dyDescent="0.2">
      <c r="A629" s="26"/>
      <c r="G629" s="23">
        <v>2.7303593825600068</v>
      </c>
      <c r="H629" s="24">
        <v>0.48777567093025403</v>
      </c>
      <c r="I629" s="25">
        <v>0.1420236734830696</v>
      </c>
    </row>
    <row r="630" spans="1:9" x14ac:dyDescent="0.2">
      <c r="A630" s="26"/>
      <c r="G630" s="23">
        <v>4.0320956381863162</v>
      </c>
      <c r="H630" s="24">
        <v>0.66274625416485999</v>
      </c>
      <c r="I630" s="25">
        <v>0.13956669265113802</v>
      </c>
    </row>
    <row r="631" spans="1:9" x14ac:dyDescent="0.2">
      <c r="A631" s="26"/>
      <c r="G631" s="23">
        <v>2.9329177145056478</v>
      </c>
      <c r="H631" s="24">
        <v>0.5178131969417259</v>
      </c>
      <c r="I631" s="25">
        <v>0.14245650104167121</v>
      </c>
    </row>
    <row r="632" spans="1:9" x14ac:dyDescent="0.2">
      <c r="A632" s="26"/>
      <c r="G632" s="23">
        <v>4.5059881406517794</v>
      </c>
      <c r="H632" s="24">
        <v>0.72072058159536512</v>
      </c>
      <c r="I632" s="25">
        <v>0.13775459693408412</v>
      </c>
    </row>
    <row r="633" spans="1:9" x14ac:dyDescent="0.2">
      <c r="A633" s="26"/>
      <c r="G633" s="23">
        <v>2.3511146530539104</v>
      </c>
      <c r="H633" s="24">
        <v>0.42432521412979568</v>
      </c>
      <c r="I633" s="25">
        <v>0.13794529850698986</v>
      </c>
    </row>
    <row r="634" spans="1:9" x14ac:dyDescent="0.2">
      <c r="A634" s="26"/>
      <c r="G634" s="23">
        <v>2.748130027129144</v>
      </c>
      <c r="H634" s="24">
        <v>0.49048715863806619</v>
      </c>
      <c r="I634" s="25">
        <v>0.14209195099690228</v>
      </c>
    </row>
    <row r="635" spans="1:9" x14ac:dyDescent="0.2">
      <c r="A635" s="26"/>
      <c r="G635" s="23">
        <v>2.7009531247330352</v>
      </c>
      <c r="H635" s="24">
        <v>0.48325117646687293</v>
      </c>
      <c r="I635" s="25">
        <v>0.1418947894605308</v>
      </c>
    </row>
    <row r="636" spans="1:9" x14ac:dyDescent="0.2">
      <c r="A636" s="26"/>
      <c r="G636" s="23">
        <v>3.7676406194072682</v>
      </c>
      <c r="H636" s="24">
        <v>0.62956756807562386</v>
      </c>
      <c r="I636" s="25">
        <v>0.14055681528054559</v>
      </c>
    </row>
    <row r="637" spans="1:9" x14ac:dyDescent="0.2">
      <c r="A637" s="26"/>
      <c r="G637" s="23">
        <v>4.3913782338881173</v>
      </c>
      <c r="H637" s="24">
        <v>0.7068428961428046</v>
      </c>
      <c r="I637" s="25">
        <v>0.13818962119220393</v>
      </c>
    </row>
    <row r="638" spans="1:9" x14ac:dyDescent="0.2">
      <c r="A638" s="26"/>
      <c r="G638" s="23">
        <v>1.9250046532795488</v>
      </c>
      <c r="H638" s="24">
        <v>0.30036816827029555</v>
      </c>
      <c r="I638" s="25">
        <v>0.10408710775780239</v>
      </c>
    </row>
    <row r="639" spans="1:9" x14ac:dyDescent="0.2">
      <c r="A639" s="26"/>
      <c r="G639" s="23">
        <v>3.1094946553780836</v>
      </c>
      <c r="H639" s="24">
        <v>0.542749105727523</v>
      </c>
      <c r="I639" s="25">
        <v>0.14238619239034292</v>
      </c>
    </row>
    <row r="640" spans="1:9" x14ac:dyDescent="0.2">
      <c r="A640" s="26"/>
      <c r="G640" s="23">
        <v>3.7364347413210948</v>
      </c>
      <c r="H640" s="24">
        <v>0.625602766731988</v>
      </c>
      <c r="I640" s="25">
        <v>0.14066959591967448</v>
      </c>
    </row>
    <row r="641" spans="1:9" x14ac:dyDescent="0.2">
      <c r="A641" s="26"/>
      <c r="G641" s="23">
        <v>2.1169731822529227</v>
      </c>
      <c r="H641" s="24">
        <v>0.17471478830640871</v>
      </c>
      <c r="I641" s="25">
        <v>3.5293213651757131E-2</v>
      </c>
    </row>
    <row r="642" spans="1:9" x14ac:dyDescent="0.2">
      <c r="A642" s="26"/>
      <c r="G642" s="23">
        <v>5.0836622007373524</v>
      </c>
      <c r="H642" s="24">
        <v>0.7896203877500847</v>
      </c>
      <c r="I642" s="25">
        <v>0.13565425062269942</v>
      </c>
    </row>
    <row r="643" spans="1:9" x14ac:dyDescent="0.2">
      <c r="A643" s="26"/>
      <c r="G643" s="23">
        <v>4.8962786245156558</v>
      </c>
      <c r="H643" s="24">
        <v>0.76743920504781205</v>
      </c>
      <c r="I643" s="25">
        <v>0.13631560920896726</v>
      </c>
    </row>
    <row r="644" spans="1:9" x14ac:dyDescent="0.2">
      <c r="A644" s="26"/>
      <c r="G644" s="23">
        <v>3.8433989251550891</v>
      </c>
      <c r="H644" s="24">
        <v>0.63914639872011392</v>
      </c>
      <c r="I644" s="25">
        <v>0.1402785419180087</v>
      </c>
    </row>
    <row r="645" spans="1:9" x14ac:dyDescent="0.2">
      <c r="A645" s="26"/>
      <c r="G645" s="23">
        <v>5.0803787783554126</v>
      </c>
      <c r="H645" s="24">
        <v>0.7892329250450435</v>
      </c>
      <c r="I645" s="25">
        <v>0.13566565675995548</v>
      </c>
    </row>
    <row r="646" spans="1:9" x14ac:dyDescent="0.2">
      <c r="A646" s="26"/>
      <c r="G646" s="23">
        <v>2.8900929048358934</v>
      </c>
      <c r="H646" s="24">
        <v>0.51160741428222667</v>
      </c>
      <c r="I646" s="25">
        <v>0.14242013192841724</v>
      </c>
    </row>
    <row r="647" spans="1:9" x14ac:dyDescent="0.2">
      <c r="A647" s="26"/>
      <c r="G647" s="23">
        <v>3.4871618781938887</v>
      </c>
      <c r="H647" s="24">
        <v>0.59347363929903929</v>
      </c>
      <c r="I647" s="25">
        <v>0.14151153718866322</v>
      </c>
    </row>
    <row r="648" spans="1:9" x14ac:dyDescent="0.2">
      <c r="A648" s="26"/>
      <c r="G648" s="23">
        <v>2.6885545239284854</v>
      </c>
      <c r="H648" s="24">
        <v>0.48132883077445815</v>
      </c>
      <c r="I648" s="25">
        <v>0.14183414392026117</v>
      </c>
    </row>
    <row r="649" spans="1:9" x14ac:dyDescent="0.2">
      <c r="A649" s="26"/>
      <c r="G649" s="23">
        <v>2.0028966778102624</v>
      </c>
      <c r="H649" s="24">
        <v>0.20866197615619012</v>
      </c>
      <c r="I649" s="25">
        <v>5.4252411454829785E-2</v>
      </c>
    </row>
    <row r="650" spans="1:9" x14ac:dyDescent="0.2">
      <c r="A650" s="26"/>
      <c r="G650" s="23">
        <v>2.2499349484521005</v>
      </c>
      <c r="H650" s="24">
        <v>0.40443251415922649</v>
      </c>
      <c r="I650" s="25">
        <v>0.13530725094010046</v>
      </c>
    </row>
    <row r="651" spans="1:9" x14ac:dyDescent="0.2">
      <c r="A651" s="26"/>
      <c r="G651" s="23">
        <v>2.0183343447942583</v>
      </c>
      <c r="H651" s="24">
        <v>0.34567905293367351</v>
      </c>
      <c r="I651" s="25">
        <v>0.12172366390990638</v>
      </c>
    </row>
    <row r="652" spans="1:9" x14ac:dyDescent="0.2">
      <c r="A652" s="26"/>
      <c r="G652" s="23">
        <v>1.9193080985999018</v>
      </c>
      <c r="H652" s="24">
        <v>0.25423098087977608</v>
      </c>
      <c r="I652" s="25">
        <v>8.0357593187966272E-2</v>
      </c>
    </row>
    <row r="653" spans="1:9" x14ac:dyDescent="0.2">
      <c r="A653" s="26"/>
      <c r="G653" s="23">
        <v>2.6199275257889143</v>
      </c>
      <c r="H653" s="24">
        <v>0.47051727940713856</v>
      </c>
      <c r="I653" s="25">
        <v>0.14142272038821074</v>
      </c>
    </row>
    <row r="654" spans="1:9" x14ac:dyDescent="0.2">
      <c r="A654" s="26"/>
      <c r="G654" s="23">
        <v>2.0832753553918684</v>
      </c>
      <c r="H654" s="24">
        <v>0.3653295842444631</v>
      </c>
      <c r="I654" s="25">
        <v>0.1273617441245245</v>
      </c>
    </row>
    <row r="655" spans="1:9" x14ac:dyDescent="0.2">
      <c r="A655" s="26"/>
      <c r="G655" s="23">
        <v>4.4216541861273617</v>
      </c>
      <c r="H655" s="24">
        <v>0.71051681550738877</v>
      </c>
      <c r="I655" s="25">
        <v>0.13807430167938675</v>
      </c>
    </row>
    <row r="656" spans="1:9" x14ac:dyDescent="0.2">
      <c r="A656" s="26"/>
      <c r="G656" s="23">
        <v>3.7206304130928487</v>
      </c>
      <c r="H656" s="24">
        <v>0.62359032617630683</v>
      </c>
      <c r="I656" s="25">
        <v>0.14072623898457728</v>
      </c>
    </row>
    <row r="657" spans="1:9" x14ac:dyDescent="0.2">
      <c r="A657" s="26"/>
      <c r="G657" s="23">
        <v>2.8794066280299568</v>
      </c>
      <c r="H657" s="24">
        <v>0.51004788309534055</v>
      </c>
      <c r="I657" s="25">
        <v>0.14240707707399164</v>
      </c>
    </row>
    <row r="658" spans="1:9" x14ac:dyDescent="0.2">
      <c r="A658" s="26"/>
      <c r="G658" s="23">
        <v>4.2534443205269392</v>
      </c>
      <c r="H658" s="24">
        <v>0.6900276680002867</v>
      </c>
      <c r="I658" s="25">
        <v>0.13871761848691011</v>
      </c>
    </row>
    <row r="659" spans="1:9" x14ac:dyDescent="0.2">
      <c r="A659" s="26"/>
      <c r="G659" s="23">
        <v>4.5383120933022276</v>
      </c>
      <c r="H659" s="24">
        <v>0.72462030252553766</v>
      </c>
      <c r="I659" s="25">
        <v>0.13763273397553558</v>
      </c>
    </row>
    <row r="660" spans="1:9" x14ac:dyDescent="0.2">
      <c r="A660" s="26"/>
      <c r="G660" s="23">
        <v>3.6055069667916522</v>
      </c>
      <c r="H660" s="24">
        <v>0.60883518416555682</v>
      </c>
      <c r="I660" s="25">
        <v>0.14112722215267995</v>
      </c>
    </row>
    <row r="661" spans="1:9" x14ac:dyDescent="0.2">
      <c r="A661" s="26"/>
      <c r="G661" s="23">
        <v>1.9806052506796925</v>
      </c>
      <c r="H661" s="24">
        <v>0.21729709319198559</v>
      </c>
      <c r="I661" s="25">
        <v>5.9222852035566473E-2</v>
      </c>
    </row>
    <row r="662" spans="1:9" x14ac:dyDescent="0.2">
      <c r="A662" s="26"/>
      <c r="G662" s="23">
        <v>2.6228222198507187</v>
      </c>
      <c r="H662" s="24">
        <v>0.47097953834336542</v>
      </c>
      <c r="I662" s="25">
        <v>0.14144288318342982</v>
      </c>
    </row>
    <row r="663" spans="1:9" x14ac:dyDescent="0.2">
      <c r="A663" s="26"/>
      <c r="G663" s="23">
        <v>2.5687361750922024</v>
      </c>
      <c r="H663" s="24">
        <v>0.46224261763997815</v>
      </c>
      <c r="I663" s="25">
        <v>0.14101978228140136</v>
      </c>
    </row>
    <row r="664" spans="1:9" x14ac:dyDescent="0.2">
      <c r="A664" s="26"/>
      <c r="G664" s="23">
        <v>3.0965356892640612</v>
      </c>
      <c r="H664" s="24">
        <v>0.54095082985989562</v>
      </c>
      <c r="I664" s="25">
        <v>0.14240133898620694</v>
      </c>
    </row>
    <row r="665" spans="1:9" x14ac:dyDescent="0.2">
      <c r="A665" s="26"/>
      <c r="G665" s="23">
        <v>2.5484395900092127</v>
      </c>
      <c r="H665" s="24">
        <v>0.45890611256489289</v>
      </c>
      <c r="I665" s="25">
        <v>0.14083367425377319</v>
      </c>
    </row>
    <row r="666" spans="1:9" x14ac:dyDescent="0.2">
      <c r="A666" s="26"/>
      <c r="G666" s="23">
        <v>1.9621390316015908</v>
      </c>
      <c r="H666" s="24">
        <v>0.32342276649558632</v>
      </c>
      <c r="I666" s="25">
        <v>0.1138669387882784</v>
      </c>
    </row>
    <row r="667" spans="1:9" x14ac:dyDescent="0.2">
      <c r="A667" s="26"/>
      <c r="G667" s="23">
        <v>3.5277521400248251</v>
      </c>
      <c r="H667" s="24">
        <v>0.59876617728185588</v>
      </c>
      <c r="I667" s="25">
        <v>0.14138356550985748</v>
      </c>
    </row>
    <row r="668" spans="1:9" x14ac:dyDescent="0.2">
      <c r="A668" s="26"/>
      <c r="G668" s="23">
        <v>3.2204488991932312</v>
      </c>
      <c r="H668" s="24">
        <v>0.55796896594591772</v>
      </c>
      <c r="I668" s="25">
        <v>0.14220656150468011</v>
      </c>
    </row>
    <row r="669" spans="1:9" x14ac:dyDescent="0.2">
      <c r="A669" s="26"/>
      <c r="G669" s="23">
        <v>2.7898808498447552</v>
      </c>
      <c r="H669" s="24">
        <v>0.4967943242023064</v>
      </c>
      <c r="I669" s="25">
        <v>0.1422262612879221</v>
      </c>
    </row>
    <row r="670" spans="1:9" x14ac:dyDescent="0.2">
      <c r="A670" s="26"/>
      <c r="G670" s="23">
        <v>2.3957529968585543</v>
      </c>
      <c r="H670" s="24">
        <v>0.43255280846444377</v>
      </c>
      <c r="I670" s="25">
        <v>0.13880930438588182</v>
      </c>
    </row>
    <row r="671" spans="1:9" x14ac:dyDescent="0.2">
      <c r="A671" s="26"/>
      <c r="G671" s="23">
        <v>2.934656037939289</v>
      </c>
      <c r="H671" s="24">
        <v>0.51806366139431359</v>
      </c>
      <c r="I671" s="25">
        <v>0.14245746503149348</v>
      </c>
    </row>
    <row r="672" spans="1:9" x14ac:dyDescent="0.2">
      <c r="A672" s="26"/>
      <c r="G672" s="23">
        <v>4.0719178988369471</v>
      </c>
      <c r="H672" s="24">
        <v>0.66768410123393329</v>
      </c>
      <c r="I672" s="25">
        <v>0.13941442677563895</v>
      </c>
    </row>
    <row r="673" spans="1:9" x14ac:dyDescent="0.2">
      <c r="A673" s="26"/>
      <c r="G673" s="23">
        <v>2.6706615698191212</v>
      </c>
      <c r="H673" s="24">
        <v>0.4785385681520532</v>
      </c>
      <c r="I673" s="25">
        <v>0.14173962397173925</v>
      </c>
    </row>
    <row r="674" spans="1:9" x14ac:dyDescent="0.2">
      <c r="A674" s="26"/>
      <c r="G674" s="23">
        <v>3.0505332621466432</v>
      </c>
      <c r="H674" s="24">
        <v>0.53452915679505819</v>
      </c>
      <c r="I674" s="25">
        <v>0.14244367065159169</v>
      </c>
    </row>
    <row r="675" spans="1:9" x14ac:dyDescent="0.2">
      <c r="A675" s="26"/>
      <c r="G675" s="23">
        <v>2.1327891005331212</v>
      </c>
      <c r="H675" s="24">
        <v>0.37815914965642849</v>
      </c>
      <c r="I675" s="25">
        <v>0.13042037212998814</v>
      </c>
    </row>
    <row r="676" spans="1:9" x14ac:dyDescent="0.2">
      <c r="A676" s="26"/>
      <c r="G676" s="23">
        <v>3.0103424558524794</v>
      </c>
      <c r="H676" s="24">
        <v>0.52886749783554599</v>
      </c>
      <c r="I676" s="25">
        <v>0.14246468720250025</v>
      </c>
    </row>
    <row r="677" spans="1:9" x14ac:dyDescent="0.2">
      <c r="A677" s="26"/>
      <c r="G677" s="23">
        <v>3.9281027990983359</v>
      </c>
      <c r="H677" s="24">
        <v>0.64978335046234059</v>
      </c>
      <c r="I677" s="25">
        <v>0.13996154812914335</v>
      </c>
    </row>
    <row r="678" spans="1:9" x14ac:dyDescent="0.2">
      <c r="A678" s="26"/>
      <c r="G678" s="23">
        <v>3.5702613741447311</v>
      </c>
      <c r="H678" s="24">
        <v>0.60428191959744315</v>
      </c>
      <c r="I678" s="25">
        <v>0.14124509812061856</v>
      </c>
    </row>
    <row r="679" spans="1:9" x14ac:dyDescent="0.2">
      <c r="A679" s="26"/>
      <c r="G679" s="23">
        <v>2.1470994589322721</v>
      </c>
      <c r="H679" s="24">
        <v>0.16729114074244519</v>
      </c>
      <c r="I679" s="25">
        <v>3.1340485403406594E-2</v>
      </c>
    </row>
    <row r="680" spans="1:9" x14ac:dyDescent="0.2">
      <c r="A680" s="26"/>
      <c r="G680" s="23">
        <v>1.9849369585665371</v>
      </c>
      <c r="H680" s="24">
        <v>0.33339550450871097</v>
      </c>
      <c r="I680" s="25">
        <v>0.11758333281634607</v>
      </c>
    </row>
    <row r="681" spans="1:9" x14ac:dyDescent="0.2">
      <c r="A681" s="26"/>
      <c r="G681" s="23">
        <v>3.8205467645531539</v>
      </c>
      <c r="H681" s="24">
        <v>0.63626371881075827</v>
      </c>
      <c r="I681" s="25">
        <v>0.14036308161336244</v>
      </c>
    </row>
    <row r="682" spans="1:9" x14ac:dyDescent="0.2">
      <c r="A682" s="26"/>
      <c r="G682" s="23">
        <v>2.445449730770191</v>
      </c>
      <c r="H682" s="24">
        <v>0.44140391625920694</v>
      </c>
      <c r="I682" s="25">
        <v>0.13960782365441066</v>
      </c>
    </row>
    <row r="683" spans="1:9" x14ac:dyDescent="0.2">
      <c r="A683" s="26"/>
      <c r="G683" s="23">
        <v>3.8938502458826361</v>
      </c>
      <c r="H683" s="24">
        <v>0.64549085780661808</v>
      </c>
      <c r="I683" s="25">
        <v>0.14009035321615282</v>
      </c>
    </row>
    <row r="684" spans="1:9" x14ac:dyDescent="0.2">
      <c r="A684" s="26"/>
      <c r="G684" s="23">
        <v>2.808503802509593</v>
      </c>
      <c r="H684" s="24">
        <v>0.49958050811124</v>
      </c>
      <c r="I684" s="25">
        <v>0.14227522364900164</v>
      </c>
    </row>
    <row r="685" spans="1:9" x14ac:dyDescent="0.2">
      <c r="A685" s="26"/>
      <c r="G685" s="23">
        <v>4.1703155883062113</v>
      </c>
      <c r="H685" s="24">
        <v>0.67982780523412745</v>
      </c>
      <c r="I685" s="25">
        <v>0.13903691254682971</v>
      </c>
    </row>
    <row r="686" spans="1:9" x14ac:dyDescent="0.2">
      <c r="A686" s="26"/>
      <c r="G686" s="23">
        <v>2.4627328913301767</v>
      </c>
      <c r="H686" s="24">
        <v>0.44441479534263645</v>
      </c>
      <c r="I686" s="25">
        <v>0.13985064927869389</v>
      </c>
    </row>
    <row r="687" spans="1:9" x14ac:dyDescent="0.2">
      <c r="A687" s="26"/>
      <c r="G687" s="23">
        <v>5.3149438669480773</v>
      </c>
      <c r="H687" s="24">
        <v>0.81681454702016243</v>
      </c>
      <c r="I687" s="25">
        <v>0.13486775466956197</v>
      </c>
    </row>
    <row r="688" spans="1:9" x14ac:dyDescent="0.2">
      <c r="A688" s="26"/>
      <c r="G688" s="23">
        <v>2.0380928661828963</v>
      </c>
      <c r="H688" s="24">
        <v>0.3521167183762508</v>
      </c>
      <c r="I688" s="25">
        <v>0.12370227140744527</v>
      </c>
    </row>
    <row r="689" spans="1:9" x14ac:dyDescent="0.2">
      <c r="A689" s="26"/>
      <c r="G689" s="23">
        <v>2.5743465329417488</v>
      </c>
      <c r="H689" s="24">
        <v>0.46315908820669721</v>
      </c>
      <c r="I689" s="25">
        <v>0.14106845448720268</v>
      </c>
    </row>
    <row r="690" spans="1:9" x14ac:dyDescent="0.2">
      <c r="A690" s="26"/>
      <c r="G690" s="23">
        <v>2.0395181010806134</v>
      </c>
      <c r="H690" s="24">
        <v>0.35256287904541667</v>
      </c>
      <c r="I690" s="25">
        <v>0.12383458495488872</v>
      </c>
    </row>
    <row r="691" spans="1:9" x14ac:dyDescent="0.2">
      <c r="A691" s="26"/>
      <c r="G691" s="23">
        <v>2.0993356142480639</v>
      </c>
      <c r="H691" s="24">
        <v>0.36964683894044015</v>
      </c>
      <c r="I691" s="25">
        <v>0.12844389225822075</v>
      </c>
    </row>
    <row r="692" spans="1:9" x14ac:dyDescent="0.2">
      <c r="A692" s="26"/>
      <c r="G692" s="23">
        <v>2.1479527759518171</v>
      </c>
      <c r="H692" s="24">
        <v>0.16708687096048744</v>
      </c>
      <c r="I692" s="25">
        <v>3.1232935016759517E-2</v>
      </c>
    </row>
    <row r="693" spans="1:9" x14ac:dyDescent="0.2">
      <c r="A693" s="26"/>
      <c r="G693" s="23">
        <v>2.0099322387021163</v>
      </c>
      <c r="H693" s="24">
        <v>0.20614481355357253</v>
      </c>
      <c r="I693" s="25">
        <v>5.2810144550941594E-2</v>
      </c>
    </row>
    <row r="694" spans="1:9" x14ac:dyDescent="0.2">
      <c r="A694" s="26"/>
      <c r="G694" s="23">
        <v>2.5481027412471198</v>
      </c>
      <c r="H694" s="24">
        <v>0.45885045489397758</v>
      </c>
      <c r="I694" s="25">
        <v>0.14083044910042716</v>
      </c>
    </row>
    <row r="695" spans="1:9" x14ac:dyDescent="0.2">
      <c r="A695" s="26"/>
      <c r="G695" s="23">
        <v>2.118988797797575</v>
      </c>
      <c r="H695" s="24">
        <v>0.37471906110623737</v>
      </c>
      <c r="I695" s="25">
        <v>0.12964630105721064</v>
      </c>
    </row>
    <row r="696" spans="1:9" x14ac:dyDescent="0.2">
      <c r="A696" s="26"/>
      <c r="G696" s="23">
        <v>1.9335554446333081</v>
      </c>
      <c r="H696" s="24">
        <v>0.2418170637697464</v>
      </c>
      <c r="I696" s="25">
        <v>7.3345226625515972E-2</v>
      </c>
    </row>
    <row r="697" spans="1:9" x14ac:dyDescent="0.2">
      <c r="A697" s="26"/>
      <c r="G697" s="23">
        <v>4.3814879054642395</v>
      </c>
      <c r="H697" s="24">
        <v>0.70564145185571103</v>
      </c>
      <c r="I697" s="25">
        <v>0.13822734729229483</v>
      </c>
    </row>
    <row r="698" spans="1:9" x14ac:dyDescent="0.2">
      <c r="A698" s="26"/>
      <c r="G698" s="23">
        <v>2.0385665125634786</v>
      </c>
      <c r="H698" s="24">
        <v>0.3522652395580676</v>
      </c>
      <c r="I698" s="25">
        <v>0.12374638576336186</v>
      </c>
    </row>
    <row r="699" spans="1:9" x14ac:dyDescent="0.2">
      <c r="A699" s="26"/>
      <c r="G699" s="23">
        <v>1.9350412088107614</v>
      </c>
      <c r="H699" s="24">
        <v>0.24078080759625567</v>
      </c>
      <c r="I699" s="25">
        <v>7.2753389160461701E-2</v>
      </c>
    </row>
    <row r="700" spans="1:9" x14ac:dyDescent="0.2">
      <c r="A700" s="26"/>
      <c r="G700" s="23">
        <v>1.9603918600350576</v>
      </c>
      <c r="H700" s="24">
        <v>0.32257860489759571</v>
      </c>
      <c r="I700" s="25">
        <v>0.11353781248790699</v>
      </c>
    </row>
    <row r="701" spans="1:9" x14ac:dyDescent="0.2">
      <c r="A701" s="26"/>
      <c r="G701" s="23">
        <v>3.4982222011275783</v>
      </c>
      <c r="H701" s="24">
        <v>0.59491835797794845</v>
      </c>
      <c r="I701" s="25">
        <v>0.14147710695115531</v>
      </c>
    </row>
    <row r="702" spans="1:9" x14ac:dyDescent="0.2">
      <c r="A702" s="26"/>
      <c r="G702" s="23">
        <v>3.6665854364938073</v>
      </c>
      <c r="H702" s="24">
        <v>0.61668504559949755</v>
      </c>
      <c r="I702" s="25">
        <v>0.14091722477452057</v>
      </c>
    </row>
    <row r="703" spans="1:9" x14ac:dyDescent="0.2">
      <c r="A703" s="26"/>
      <c r="G703" s="23">
        <v>2.7637152393056774</v>
      </c>
      <c r="H703" s="24">
        <v>0.49285171060120087</v>
      </c>
      <c r="I703" s="25">
        <v>0.14214623255099904</v>
      </c>
    </row>
    <row r="704" spans="1:9" x14ac:dyDescent="0.2">
      <c r="A704" s="26"/>
      <c r="G704" s="23">
        <v>2.9323372392750739</v>
      </c>
      <c r="H704" s="24">
        <v>0.51772953544332612</v>
      </c>
      <c r="I704" s="25">
        <v>0.14245617057896118</v>
      </c>
    </row>
    <row r="705" spans="1:9" x14ac:dyDescent="0.2">
      <c r="A705" s="26"/>
      <c r="G705" s="23">
        <v>2.2887390815598079</v>
      </c>
      <c r="H705" s="24">
        <v>0.4122963061027759</v>
      </c>
      <c r="I705" s="25">
        <v>0.13644906364766815</v>
      </c>
    </row>
    <row r="706" spans="1:9" x14ac:dyDescent="0.2">
      <c r="A706" s="26"/>
      <c r="G706" s="23">
        <v>3.0437227787407393</v>
      </c>
      <c r="H706" s="24">
        <v>0.53357322712426425</v>
      </c>
      <c r="I706" s="25">
        <v>0.14244832961217568</v>
      </c>
    </row>
    <row r="707" spans="1:9" x14ac:dyDescent="0.2">
      <c r="A707" s="26"/>
      <c r="G707" s="23">
        <v>3.0639247086179049</v>
      </c>
      <c r="H707" s="24">
        <v>0.53640480150681558</v>
      </c>
      <c r="I707" s="25">
        <v>0.1424332650176498</v>
      </c>
    </row>
    <row r="708" spans="1:9" x14ac:dyDescent="0.2">
      <c r="A708" s="26"/>
      <c r="G708" s="23">
        <v>4.0312800700129054</v>
      </c>
      <c r="H708" s="24">
        <v>0.66264498013062978</v>
      </c>
      <c r="I708" s="25">
        <v>0.13956980633169266</v>
      </c>
    </row>
    <row r="709" spans="1:9" x14ac:dyDescent="0.2">
      <c r="A709" s="26"/>
      <c r="G709" s="23">
        <v>2.8382506196517312</v>
      </c>
      <c r="H709" s="24">
        <v>0.50399826169904249</v>
      </c>
      <c r="I709" s="25">
        <v>0.14234058733632873</v>
      </c>
    </row>
    <row r="710" spans="1:9" x14ac:dyDescent="0.2">
      <c r="A710" s="26"/>
      <c r="G710" s="23">
        <v>1.927278541975973</v>
      </c>
      <c r="H710" s="24">
        <v>0.24660688867097202</v>
      </c>
      <c r="I710" s="25">
        <v>7.6069381766968078E-2</v>
      </c>
    </row>
    <row r="711" spans="1:9" x14ac:dyDescent="0.2">
      <c r="A711" s="26"/>
      <c r="G711" s="23">
        <v>2.9283917769443484</v>
      </c>
      <c r="H711" s="24">
        <v>0.51716056797183385</v>
      </c>
      <c r="I711" s="25">
        <v>0.14245381023334486</v>
      </c>
    </row>
    <row r="712" spans="1:9" x14ac:dyDescent="0.2">
      <c r="A712" s="26"/>
      <c r="G712" s="23">
        <v>1.9695504753436537</v>
      </c>
      <c r="H712" s="24">
        <v>0.22206297636111186</v>
      </c>
      <c r="I712" s="25">
        <v>6.1975042731361223E-2</v>
      </c>
    </row>
    <row r="713" spans="1:9" x14ac:dyDescent="0.2">
      <c r="A713" s="26"/>
      <c r="G713" s="23">
        <v>1.9654383469286987</v>
      </c>
      <c r="H713" s="24">
        <v>0.22394301075230436</v>
      </c>
      <c r="I713" s="25">
        <v>6.306125524408758E-2</v>
      </c>
    </row>
    <row r="714" spans="1:9" x14ac:dyDescent="0.2">
      <c r="A714" s="26"/>
      <c r="G714" s="23">
        <v>3.3169755935396483</v>
      </c>
      <c r="H714" s="24">
        <v>0.57097822973424928</v>
      </c>
      <c r="I714" s="25">
        <v>0.14199026039306414</v>
      </c>
    </row>
    <row r="715" spans="1:9" x14ac:dyDescent="0.2">
      <c r="A715" s="26"/>
      <c r="G715" s="23">
        <v>2.2485993518485121</v>
      </c>
      <c r="H715" s="24">
        <v>0.14476755128337646</v>
      </c>
      <c r="I715" s="25">
        <v>1.9909082405657617E-2</v>
      </c>
    </row>
    <row r="716" spans="1:9" x14ac:dyDescent="0.2">
      <c r="A716" s="26"/>
      <c r="G716" s="23">
        <v>2.3348570355356131</v>
      </c>
      <c r="H716" s="24">
        <v>0.42125444298708131</v>
      </c>
      <c r="I716" s="25">
        <v>0.13759062615294981</v>
      </c>
    </row>
    <row r="717" spans="1:9" x14ac:dyDescent="0.2">
      <c r="A717" s="26"/>
      <c r="G717" s="23">
        <v>2.815556804432767</v>
      </c>
      <c r="H717" s="24">
        <v>0.50063153541437844</v>
      </c>
      <c r="I717" s="25">
        <v>0.14229211546842691</v>
      </c>
    </row>
    <row r="718" spans="1:9" x14ac:dyDescent="0.2">
      <c r="A718" s="26"/>
      <c r="G718" s="23">
        <v>3.2980517149670834</v>
      </c>
      <c r="H718" s="24">
        <v>0.56844328971913038</v>
      </c>
      <c r="I718" s="25">
        <v>0.14203636835139488</v>
      </c>
    </row>
    <row r="719" spans="1:9" x14ac:dyDescent="0.2">
      <c r="A719" s="26"/>
      <c r="G719" s="23">
        <v>2.515989417028146</v>
      </c>
      <c r="H719" s="24">
        <v>0.453499708551727</v>
      </c>
      <c r="I719" s="25">
        <v>0.14050126946843844</v>
      </c>
    </row>
    <row r="720" spans="1:9" x14ac:dyDescent="0.2">
      <c r="A720" s="26"/>
      <c r="G720" s="23">
        <v>4.3097235124331759</v>
      </c>
      <c r="H720" s="24">
        <v>0.69690433896397241</v>
      </c>
      <c r="I720" s="25">
        <v>0.13850177064766206</v>
      </c>
    </row>
    <row r="721" spans="1:9" x14ac:dyDescent="0.2">
      <c r="A721" s="26"/>
      <c r="G721" s="23">
        <v>2.3605201203553658</v>
      </c>
      <c r="H721" s="24">
        <v>0.42608285911492783</v>
      </c>
      <c r="I721" s="25">
        <v>0.1381402576546229</v>
      </c>
    </row>
    <row r="722" spans="1:9" x14ac:dyDescent="0.2">
      <c r="A722" s="26"/>
      <c r="G722" s="23">
        <v>2.4695056411960645</v>
      </c>
      <c r="H722" s="24">
        <v>0.44558591341943299</v>
      </c>
      <c r="I722" s="25">
        <v>0.13994133326293517</v>
      </c>
    </row>
    <row r="723" spans="1:9" x14ac:dyDescent="0.2">
      <c r="A723" s="26"/>
      <c r="G723" s="23">
        <v>2.0787421761135461</v>
      </c>
      <c r="H723" s="24">
        <v>0.36407958942671764</v>
      </c>
      <c r="I723" s="25">
        <v>0.12703816325617134</v>
      </c>
    </row>
    <row r="724" spans="1:9" x14ac:dyDescent="0.2">
      <c r="A724" s="26"/>
      <c r="G724" s="23">
        <v>3.9145261985181956</v>
      </c>
      <c r="H724" s="24">
        <v>0.64808335334871481</v>
      </c>
      <c r="I724" s="25">
        <v>0.14001269222979529</v>
      </c>
    </row>
    <row r="725" spans="1:9" x14ac:dyDescent="0.2">
      <c r="A725" s="26"/>
      <c r="G725" s="23">
        <v>2.6830221238861034</v>
      </c>
      <c r="H725" s="24">
        <v>0.48046814887893791</v>
      </c>
      <c r="I725" s="25">
        <v>0.14180581814873361</v>
      </c>
    </row>
    <row r="726" spans="1:9" x14ac:dyDescent="0.2">
      <c r="A726" s="26"/>
      <c r="G726" s="23">
        <v>2.6153334045038314</v>
      </c>
      <c r="H726" s="24">
        <v>0.46978244303074768</v>
      </c>
      <c r="I726" s="25">
        <v>0.14139017262725817</v>
      </c>
    </row>
    <row r="727" spans="1:9" x14ac:dyDescent="0.2">
      <c r="A727" s="26"/>
      <c r="G727" s="23">
        <v>1.9223498752684716</v>
      </c>
      <c r="H727" s="24">
        <v>0.2510306886194914</v>
      </c>
      <c r="I727" s="25">
        <v>7.8565660222639042E-2</v>
      </c>
    </row>
    <row r="728" spans="1:9" x14ac:dyDescent="0.2">
      <c r="A728" s="26"/>
      <c r="G728" s="23">
        <v>1.9734284891335505</v>
      </c>
      <c r="H728" s="24">
        <v>0.22034636743525216</v>
      </c>
      <c r="I728" s="25">
        <v>6.098339342307512E-2</v>
      </c>
    </row>
    <row r="729" spans="1:9" x14ac:dyDescent="0.2">
      <c r="A729" s="26"/>
      <c r="G729" s="23">
        <v>2.4254814503752762</v>
      </c>
      <c r="H729" s="24">
        <v>0.43788341554001375</v>
      </c>
      <c r="I729" s="25">
        <v>0.13930570938714848</v>
      </c>
    </row>
    <row r="730" spans="1:9" x14ac:dyDescent="0.2">
      <c r="A730" s="26"/>
      <c r="G730" s="23">
        <v>2.0871301254418686</v>
      </c>
      <c r="H730" s="24">
        <v>0.36638124296373636</v>
      </c>
      <c r="I730" s="25">
        <v>0.12763039459134076</v>
      </c>
    </row>
    <row r="731" spans="1:9" x14ac:dyDescent="0.2">
      <c r="A731" s="26"/>
      <c r="G731" s="23">
        <v>1.938221999938128</v>
      </c>
      <c r="H731" s="24">
        <v>0.31026281420849194</v>
      </c>
      <c r="I731" s="25">
        <v>0.10848231664127631</v>
      </c>
    </row>
    <row r="732" spans="1:9" x14ac:dyDescent="0.2">
      <c r="A732" s="26"/>
      <c r="G732" s="23">
        <v>2.2344104046767428</v>
      </c>
      <c r="H732" s="24">
        <v>0.40118957617973888</v>
      </c>
      <c r="I732" s="25">
        <v>0.1347959954264519</v>
      </c>
    </row>
    <row r="733" spans="1:9" x14ac:dyDescent="0.2">
      <c r="A733" s="26"/>
      <c r="G733" s="23">
        <v>2.0343731393388267</v>
      </c>
      <c r="H733" s="24">
        <v>0.19798186813566729</v>
      </c>
      <c r="I733" s="25">
        <v>4.8163173584466111E-2</v>
      </c>
    </row>
    <row r="734" spans="1:9" x14ac:dyDescent="0.2">
      <c r="A734" s="26"/>
      <c r="G734" s="23">
        <v>4.8401203926942706</v>
      </c>
      <c r="H734" s="24">
        <v>0.76076268759452959</v>
      </c>
      <c r="I734" s="25">
        <v>0.13651782032153079</v>
      </c>
    </row>
    <row r="735" spans="1:9" x14ac:dyDescent="0.2">
      <c r="A735" s="26"/>
      <c r="G735" s="23">
        <v>4.1305943692297671</v>
      </c>
      <c r="H735" s="24">
        <v>0.67493515576554575</v>
      </c>
      <c r="I735" s="25">
        <v>0.13918944899511831</v>
      </c>
    </row>
    <row r="736" spans="1:9" x14ac:dyDescent="0.2">
      <c r="A736" s="26"/>
      <c r="G736" s="23">
        <v>4.2715547279414956</v>
      </c>
      <c r="H736" s="24">
        <v>0.69224301087513973</v>
      </c>
      <c r="I736" s="25">
        <v>0.13864811458717546</v>
      </c>
    </row>
    <row r="737" spans="1:9" x14ac:dyDescent="0.2">
      <c r="A737" s="26"/>
      <c r="G737" s="23">
        <v>2.4388074836939202</v>
      </c>
      <c r="H737" s="24">
        <v>0.44023796328701487</v>
      </c>
      <c r="I737" s="25">
        <v>0.13950997119360978</v>
      </c>
    </row>
    <row r="738" spans="1:9" x14ac:dyDescent="0.2">
      <c r="A738" s="26"/>
      <c r="G738" s="23">
        <v>3.2859548309319817</v>
      </c>
      <c r="H738" s="24">
        <v>0.56681901504952981</v>
      </c>
      <c r="I738" s="25">
        <v>0.14206495146100706</v>
      </c>
    </row>
    <row r="739" spans="1:9" x14ac:dyDescent="0.2">
      <c r="A739" s="26"/>
      <c r="G739" s="23">
        <v>3.7468252560097146</v>
      </c>
      <c r="H739" s="24">
        <v>0.62692419708455938</v>
      </c>
      <c r="I739" s="25">
        <v>0.14063217780153583</v>
      </c>
    </row>
    <row r="740" spans="1:9" x14ac:dyDescent="0.2">
      <c r="A740" s="26"/>
      <c r="G740" s="23">
        <v>1.9117532321681319</v>
      </c>
      <c r="H740" s="24">
        <v>0.26651243520224027</v>
      </c>
      <c r="I740" s="25">
        <v>8.7099334218612157E-2</v>
      </c>
    </row>
    <row r="741" spans="1:9" x14ac:dyDescent="0.2">
      <c r="A741" s="26"/>
      <c r="G741" s="23">
        <v>2.1398800113978149</v>
      </c>
      <c r="H741" s="24">
        <v>0.37989149733909211</v>
      </c>
      <c r="I741" s="25">
        <v>0.13079775237778166</v>
      </c>
    </row>
    <row r="742" spans="1:9" x14ac:dyDescent="0.2">
      <c r="A742" s="26"/>
      <c r="G742" s="23">
        <v>2.0984370500608089</v>
      </c>
      <c r="H742" s="24">
        <v>0.36940961703955011</v>
      </c>
      <c r="I742" s="25">
        <v>0.12838584580920689</v>
      </c>
    </row>
    <row r="743" spans="1:9" x14ac:dyDescent="0.2">
      <c r="A743" s="26"/>
      <c r="G743" s="23">
        <v>2.0925778829382349</v>
      </c>
      <c r="H743" s="24">
        <v>0.36785055151335977</v>
      </c>
      <c r="I743" s="25">
        <v>0.12800027765138602</v>
      </c>
    </row>
    <row r="744" spans="1:9" x14ac:dyDescent="0.2">
      <c r="A744" s="26"/>
      <c r="G744" s="23">
        <v>2.7254244898954565</v>
      </c>
      <c r="H744" s="24">
        <v>0.48701970850412052</v>
      </c>
      <c r="I744" s="25">
        <v>0.14200345980924606</v>
      </c>
    </row>
    <row r="745" spans="1:9" x14ac:dyDescent="0.2">
      <c r="A745" s="26"/>
      <c r="G745" s="23">
        <v>2.5996789767859463</v>
      </c>
      <c r="H745" s="24">
        <v>0.4672672933666453</v>
      </c>
      <c r="I745" s="25">
        <v>0.14127409390008289</v>
      </c>
    </row>
    <row r="746" spans="1:9" x14ac:dyDescent="0.2">
      <c r="A746" s="26"/>
      <c r="G746" s="23">
        <v>5.1895977246591967</v>
      </c>
      <c r="H746" s="24">
        <v>0.80209981406245268</v>
      </c>
      <c r="I746" s="25">
        <v>0.13528983359079991</v>
      </c>
    </row>
    <row r="747" spans="1:9" x14ac:dyDescent="0.2">
      <c r="A747" s="26"/>
      <c r="G747" s="23">
        <v>4.8792757599911463</v>
      </c>
      <c r="H747" s="24">
        <v>0.76541925108017828</v>
      </c>
      <c r="I747" s="25">
        <v>0.13637664324003479</v>
      </c>
    </row>
    <row r="748" spans="1:9" x14ac:dyDescent="0.2">
      <c r="A748" s="26"/>
      <c r="G748" s="23">
        <v>4.1442448297416119</v>
      </c>
      <c r="H748" s="24">
        <v>0.67661796947290131</v>
      </c>
      <c r="I748" s="25">
        <v>0.13913704225306026</v>
      </c>
    </row>
    <row r="749" spans="1:9" x14ac:dyDescent="0.2">
      <c r="A749" s="26"/>
      <c r="G749" s="23">
        <v>2.7959698003016733</v>
      </c>
      <c r="H749" s="24">
        <v>0.497707075436778</v>
      </c>
      <c r="I749" s="25">
        <v>0.14224297912794015</v>
      </c>
    </row>
    <row r="750" spans="1:9" x14ac:dyDescent="0.2">
      <c r="A750" s="26"/>
      <c r="G750" s="23">
        <v>3.2767962759810554</v>
      </c>
      <c r="H750" s="24">
        <v>0.56558724625639789</v>
      </c>
      <c r="I750" s="25">
        <v>0.14208611263966583</v>
      </c>
    </row>
    <row r="751" spans="1:9" x14ac:dyDescent="0.2">
      <c r="A751" s="26"/>
      <c r="G751" s="23">
        <v>3.8204736550525253</v>
      </c>
      <c r="H751" s="24">
        <v>0.6362544872708692</v>
      </c>
      <c r="I751" s="25">
        <v>0.14036335130110469</v>
      </c>
    </row>
    <row r="752" spans="1:9" x14ac:dyDescent="0.2">
      <c r="A752" s="26"/>
      <c r="G752" s="23">
        <v>2.7502504368596332</v>
      </c>
      <c r="H752" s="24">
        <v>0.49080959206999375</v>
      </c>
      <c r="I752" s="25">
        <v>0.14209963767013253</v>
      </c>
    </row>
    <row r="753" spans="1:9" x14ac:dyDescent="0.2">
      <c r="A753" s="26"/>
      <c r="G753" s="23">
        <v>1.9613846735155041</v>
      </c>
      <c r="H753" s="24">
        <v>0.32305999828278148</v>
      </c>
      <c r="I753" s="25">
        <v>0.11372577740849883</v>
      </c>
    </row>
    <row r="754" spans="1:9" x14ac:dyDescent="0.2">
      <c r="A754" s="26"/>
      <c r="G754" s="23">
        <v>3.7370730009236883</v>
      </c>
      <c r="H754" s="24">
        <v>0.62568397578061696</v>
      </c>
      <c r="I754" s="25">
        <v>0.14066730143097769</v>
      </c>
    </row>
    <row r="755" spans="1:9" x14ac:dyDescent="0.2">
      <c r="A755" s="26"/>
      <c r="G755" s="23">
        <v>3.3946401135805404</v>
      </c>
      <c r="H755" s="24">
        <v>0.581308583271817</v>
      </c>
      <c r="I755" s="25">
        <v>0.14178486251198935</v>
      </c>
    </row>
    <row r="756" spans="1:9" x14ac:dyDescent="0.2">
      <c r="A756" s="26"/>
      <c r="G756" s="23">
        <v>5.236896018591974</v>
      </c>
      <c r="H756" s="24">
        <v>0.80765860488151942</v>
      </c>
      <c r="I756" s="25">
        <v>0.13512939742914143</v>
      </c>
    </row>
    <row r="757" spans="1:9" x14ac:dyDescent="0.2">
      <c r="A757" s="26"/>
      <c r="G757" s="23">
        <v>2.8372045299210189</v>
      </c>
      <c r="H757" s="24">
        <v>0.50384356589054979</v>
      </c>
      <c r="I757" s="25">
        <v>0.14233854490979392</v>
      </c>
    </row>
    <row r="758" spans="1:9" x14ac:dyDescent="0.2">
      <c r="A758" s="26"/>
      <c r="G758" s="23">
        <v>3.0734547171357449</v>
      </c>
      <c r="H758" s="24">
        <v>0.53773642428323321</v>
      </c>
      <c r="I758" s="25">
        <v>0.14242488114516888</v>
      </c>
    </row>
    <row r="759" spans="1:9" x14ac:dyDescent="0.2">
      <c r="A759" s="26"/>
      <c r="G759" s="23">
        <v>2.2575734349890491</v>
      </c>
      <c r="H759" s="24">
        <v>0.40600682359198398</v>
      </c>
      <c r="I759" s="25">
        <v>0.1355467854817986</v>
      </c>
    </row>
    <row r="760" spans="1:9" x14ac:dyDescent="0.2">
      <c r="A760" s="26"/>
      <c r="G760" s="23">
        <v>1.9155873911506851</v>
      </c>
      <c r="H760" s="24">
        <v>0.28991045471343979</v>
      </c>
      <c r="I760" s="25">
        <v>9.9139540227003317E-2</v>
      </c>
    </row>
    <row r="761" spans="1:9" x14ac:dyDescent="0.2">
      <c r="A761" s="26"/>
      <c r="G761" s="23">
        <v>1.9129150310616183</v>
      </c>
      <c r="H761" s="24">
        <v>0.28524706654218857</v>
      </c>
      <c r="I761" s="25">
        <v>9.6840195222505587E-2</v>
      </c>
    </row>
    <row r="762" spans="1:9" x14ac:dyDescent="0.2">
      <c r="A762" s="26"/>
      <c r="G762" s="23">
        <v>2.1332726253975998</v>
      </c>
      <c r="H762" s="24">
        <v>0.1706453739025538</v>
      </c>
      <c r="I762" s="25">
        <v>3.3115960694086524E-2</v>
      </c>
    </row>
    <row r="763" spans="1:9" x14ac:dyDescent="0.2">
      <c r="A763" s="26"/>
      <c r="G763" s="23">
        <v>2.0179576378596926</v>
      </c>
      <c r="H763" s="24">
        <v>0.20337209555275532</v>
      </c>
      <c r="I763" s="25">
        <v>5.1226097180255378E-2</v>
      </c>
    </row>
    <row r="764" spans="1:9" x14ac:dyDescent="0.2">
      <c r="A764" s="26"/>
      <c r="G764" s="23">
        <v>4.3092612806080801</v>
      </c>
      <c r="H764" s="24">
        <v>0.69684795032441904</v>
      </c>
      <c r="I764" s="25">
        <v>0.13850354155134489</v>
      </c>
    </row>
    <row r="765" spans="1:9" x14ac:dyDescent="0.2">
      <c r="A765" s="26"/>
      <c r="G765" s="23">
        <v>1.9113951507933225</v>
      </c>
      <c r="H765" s="24">
        <v>0.28130426169259976</v>
      </c>
      <c r="I765" s="25">
        <v>9.4854410469354541E-2</v>
      </c>
    </row>
    <row r="766" spans="1:9" x14ac:dyDescent="0.2">
      <c r="A766" s="26"/>
      <c r="G766" s="23">
        <v>2.1351828719609887</v>
      </c>
      <c r="H766" s="24">
        <v>0.17017685177564706</v>
      </c>
      <c r="I766" s="25">
        <v>3.2866903911176151E-2</v>
      </c>
    </row>
    <row r="767" spans="1:9" x14ac:dyDescent="0.2">
      <c r="A767" s="26"/>
      <c r="G767" s="23">
        <v>3.3322577294714923</v>
      </c>
      <c r="H767" s="24">
        <v>0.57302010114329194</v>
      </c>
      <c r="I767" s="25">
        <v>0.14195183507855452</v>
      </c>
    </row>
    <row r="768" spans="1:9" x14ac:dyDescent="0.2">
      <c r="A768" s="26"/>
      <c r="G768" s="23">
        <v>2.277025925857731</v>
      </c>
      <c r="H768" s="24">
        <v>0.13896669898265032</v>
      </c>
      <c r="I768" s="25">
        <v>1.7112979281452789E-2</v>
      </c>
    </row>
    <row r="769" spans="1:9" x14ac:dyDescent="0.2">
      <c r="A769" s="26"/>
      <c r="G769" s="23">
        <v>3.4607371831257834</v>
      </c>
      <c r="H769" s="24">
        <v>0.59001398813219608</v>
      </c>
      <c r="I769" s="25">
        <v>0.14159237200424821</v>
      </c>
    </row>
    <row r="770" spans="1:9" x14ac:dyDescent="0.2">
      <c r="A770" s="26"/>
      <c r="G770" s="23">
        <v>4.1098826454259951</v>
      </c>
      <c r="H770" s="24">
        <v>0.67237893978347585</v>
      </c>
      <c r="I770" s="25">
        <v>0.13926892509458305</v>
      </c>
    </row>
    <row r="771" spans="1:9" x14ac:dyDescent="0.2">
      <c r="A771" s="26"/>
      <c r="G771" s="23">
        <v>4.0146044703361969</v>
      </c>
      <c r="H771" s="24">
        <v>0.66057296237432772</v>
      </c>
      <c r="I771" s="25">
        <v>0.13963342217801777</v>
      </c>
    </row>
    <row r="772" spans="1:9" x14ac:dyDescent="0.2">
      <c r="A772" s="26"/>
      <c r="G772" s="23">
        <v>2.3190271040121893</v>
      </c>
      <c r="H772" s="24">
        <v>0.41822255786296686</v>
      </c>
      <c r="I772" s="25">
        <v>0.13722243945415227</v>
      </c>
    </row>
    <row r="773" spans="1:9" x14ac:dyDescent="0.2">
      <c r="G773" s="23">
        <v>2.1625429787223425</v>
      </c>
      <c r="H773" s="24">
        <v>0.38528307422395336</v>
      </c>
      <c r="I773" s="25">
        <v>0.13192018634579281</v>
      </c>
    </row>
    <row r="774" spans="1:9" x14ac:dyDescent="0.2">
      <c r="G774" s="23">
        <v>2.1958353012626683</v>
      </c>
      <c r="H774" s="24">
        <v>0.3928527158765453</v>
      </c>
      <c r="I774" s="25">
        <v>0.13336734053689295</v>
      </c>
    </row>
    <row r="775" spans="1:9" x14ac:dyDescent="0.2">
      <c r="G775" s="23">
        <v>1.9335234261337464</v>
      </c>
      <c r="H775" s="24">
        <v>0.24183974870884481</v>
      </c>
      <c r="I775" s="25">
        <v>7.3358173633484236E-2</v>
      </c>
    </row>
    <row r="776" spans="1:9" x14ac:dyDescent="0.2">
      <c r="G776" s="23">
        <v>2.471512137046981</v>
      </c>
      <c r="H776" s="24">
        <v>0.44593194740092945</v>
      </c>
      <c r="I776" s="25">
        <v>0.13996773097952117</v>
      </c>
    </row>
    <row r="777" spans="1:9" x14ac:dyDescent="0.2">
      <c r="G777" s="23">
        <v>2.9237471220930296</v>
      </c>
      <c r="H777" s="24">
        <v>0.51649004280709776</v>
      </c>
      <c r="I777" s="25">
        <v>0.14245077427175984</v>
      </c>
    </row>
    <row r="778" spans="1:9" x14ac:dyDescent="0.2">
      <c r="G778" s="23">
        <v>2.2011972690958626</v>
      </c>
      <c r="H778" s="24">
        <v>0.39403742578008705</v>
      </c>
      <c r="I778" s="25">
        <v>0.13358067830546883</v>
      </c>
    </row>
    <row r="779" spans="1:9" x14ac:dyDescent="0.2">
      <c r="G779" s="23">
        <v>4.7540300093150876</v>
      </c>
      <c r="H779" s="24">
        <v>0.75049961173561663</v>
      </c>
      <c r="I779" s="25">
        <v>0.13683119563210708</v>
      </c>
    </row>
    <row r="780" spans="1:9" x14ac:dyDescent="0.2">
      <c r="G780" s="23">
        <v>1.9999750196241093</v>
      </c>
      <c r="H780" s="24">
        <v>0.20973335143363825</v>
      </c>
      <c r="I780" s="25">
        <v>5.4867360275402968E-2</v>
      </c>
    </row>
    <row r="781" spans="1:9" x14ac:dyDescent="0.2">
      <c r="G781" s="23">
        <v>1.9149560236180778</v>
      </c>
      <c r="H781" s="24">
        <v>0.28894426828072917</v>
      </c>
      <c r="I781" s="25">
        <v>9.8667679288856835E-2</v>
      </c>
    </row>
    <row r="782" spans="1:9" x14ac:dyDescent="0.2">
      <c r="G782" s="23">
        <v>3.93065613050122</v>
      </c>
      <c r="H782" s="24">
        <v>0.65010286243444182</v>
      </c>
      <c r="I782" s="25">
        <v>0.13995191710504043</v>
      </c>
    </row>
    <row r="783" spans="1:9" x14ac:dyDescent="0.2">
      <c r="G783" s="23">
        <v>4.2547725168914958</v>
      </c>
      <c r="H783" s="24">
        <v>0.69019021926437485</v>
      </c>
      <c r="I783" s="25">
        <v>0.13871251998342962</v>
      </c>
    </row>
    <row r="784" spans="1:9" x14ac:dyDescent="0.2">
      <c r="G784" s="23">
        <v>4.6245706964835911</v>
      </c>
      <c r="H784" s="24">
        <v>0.73499811945320626</v>
      </c>
      <c r="I784" s="25">
        <v>0.13730963577785218</v>
      </c>
    </row>
    <row r="785" spans="7:9" x14ac:dyDescent="0.2">
      <c r="G785" s="23">
        <v>3.0392628284657595</v>
      </c>
      <c r="H785" s="24">
        <v>0.53294646887890484</v>
      </c>
      <c r="I785" s="25">
        <v>0.14245114418332258</v>
      </c>
    </row>
    <row r="786" spans="7:9" x14ac:dyDescent="0.2">
      <c r="G786" s="23">
        <v>3.2913320368171939</v>
      </c>
      <c r="H786" s="24">
        <v>0.56754139832776784</v>
      </c>
      <c r="I786" s="25">
        <v>0.14205233370795878</v>
      </c>
    </row>
    <row r="787" spans="7:9" x14ac:dyDescent="0.2">
      <c r="G787" s="23">
        <v>2.9668075574863817</v>
      </c>
      <c r="H787" s="24">
        <v>0.52267685841951717</v>
      </c>
      <c r="I787" s="25">
        <v>0.14246857901613028</v>
      </c>
    </row>
    <row r="788" spans="7:9" x14ac:dyDescent="0.2">
      <c r="G788" s="23">
        <v>1.9321040687012094</v>
      </c>
      <c r="H788" s="24">
        <v>0.2428613237072357</v>
      </c>
      <c r="I788" s="25">
        <v>7.3940800876814677E-2</v>
      </c>
    </row>
    <row r="789" spans="7:9" x14ac:dyDescent="0.2">
      <c r="G789" s="23">
        <v>2.2876497063565857</v>
      </c>
      <c r="H789" s="24">
        <v>0.41207988598991274</v>
      </c>
      <c r="I789" s="25">
        <v>0.1364194367838025</v>
      </c>
    </row>
    <row r="790" spans="7:9" x14ac:dyDescent="0.2">
      <c r="G790" s="23">
        <v>1.9108181061713407</v>
      </c>
      <c r="H790" s="24">
        <v>0.27898354974345052</v>
      </c>
      <c r="I790" s="25">
        <v>9.3668543162362713E-2</v>
      </c>
    </row>
    <row r="791" spans="7:9" x14ac:dyDescent="0.2">
      <c r="G791" s="23">
        <v>3.1351647490348089</v>
      </c>
      <c r="H791" s="24">
        <v>0.54629795389045521</v>
      </c>
      <c r="I791" s="25">
        <v>0.14235231259784237</v>
      </c>
    </row>
    <row r="792" spans="7:9" x14ac:dyDescent="0.2">
      <c r="G792" s="23">
        <v>2.9997082047184147</v>
      </c>
      <c r="H792" s="24">
        <v>0.5273610288193501</v>
      </c>
      <c r="I792" s="25">
        <v>0.14246753289437056</v>
      </c>
    </row>
    <row r="793" spans="7:9" x14ac:dyDescent="0.2">
      <c r="G793" s="23">
        <v>3.4701357146110956</v>
      </c>
      <c r="H793" s="24">
        <v>0.59124579940411781</v>
      </c>
      <c r="I793" s="25">
        <v>0.14156385753029735</v>
      </c>
    </row>
    <row r="794" spans="7:9" x14ac:dyDescent="0.2">
      <c r="G794" s="23">
        <v>1.9815811895466746</v>
      </c>
      <c r="H794" s="24">
        <v>0.33202930318462365</v>
      </c>
      <c r="I794" s="25">
        <v>0.11709300780534193</v>
      </c>
    </row>
    <row r="795" spans="7:9" x14ac:dyDescent="0.2">
      <c r="G795" s="23">
        <v>2.2813043259035748</v>
      </c>
      <c r="H795" s="24">
        <v>0.4108145255825652</v>
      </c>
      <c r="I795" s="25">
        <v>0.13624421808315393</v>
      </c>
    </row>
    <row r="796" spans="7:9" x14ac:dyDescent="0.2">
      <c r="G796" s="23">
        <v>4.0273558850260267</v>
      </c>
      <c r="H796" s="24">
        <v>0.66215760729327811</v>
      </c>
      <c r="I796" s="25">
        <v>0.13958478511752606</v>
      </c>
    </row>
    <row r="797" spans="7:9" x14ac:dyDescent="0.2">
      <c r="G797" s="23">
        <v>2.0540872262682064</v>
      </c>
      <c r="H797" s="24">
        <v>0.3570022900030303</v>
      </c>
      <c r="I797" s="25">
        <v>0.12511751459543757</v>
      </c>
    </row>
    <row r="798" spans="7:9" x14ac:dyDescent="0.2">
      <c r="G798" s="23">
        <v>2.2523883963215341</v>
      </c>
      <c r="H798" s="24">
        <v>0.40493966318041369</v>
      </c>
      <c r="I798" s="25">
        <v>0.13538502604093805</v>
      </c>
    </row>
    <row r="799" spans="7:9" x14ac:dyDescent="0.2">
      <c r="G799" s="23">
        <v>2.1681983880577835</v>
      </c>
      <c r="H799" s="24">
        <v>0.38659663725199384</v>
      </c>
      <c r="I799" s="25">
        <v>0.13218192456023531</v>
      </c>
    </row>
    <row r="800" spans="7:9" x14ac:dyDescent="0.2">
      <c r="G800" s="23">
        <v>3.120819604883986</v>
      </c>
      <c r="H800" s="24">
        <v>0.54431691507285707</v>
      </c>
      <c r="I800" s="25">
        <v>0.14237186695680798</v>
      </c>
    </row>
    <row r="801" spans="7:9" x14ac:dyDescent="0.2">
      <c r="G801" s="23">
        <v>3.3618330770881162</v>
      </c>
      <c r="H801" s="24">
        <v>0.57695878662698696</v>
      </c>
      <c r="I801" s="25">
        <v>0.14187461845963906</v>
      </c>
    </row>
    <row r="802" spans="7:9" x14ac:dyDescent="0.2">
      <c r="G802" s="23">
        <v>1.9641088706503544</v>
      </c>
      <c r="H802" s="24">
        <v>0.32435826397668099</v>
      </c>
      <c r="I802" s="25">
        <v>0.11422903579284559</v>
      </c>
    </row>
    <row r="803" spans="7:9" x14ac:dyDescent="0.2">
      <c r="G803" s="23">
        <v>3.3779517698735906</v>
      </c>
      <c r="H803" s="24">
        <v>0.57909840273639712</v>
      </c>
      <c r="I803" s="25">
        <v>0.14183103664153551</v>
      </c>
    </row>
    <row r="804" spans="7:9" x14ac:dyDescent="0.2">
      <c r="G804" s="23">
        <v>5.1380514695800681</v>
      </c>
      <c r="H804" s="24">
        <v>0.7960327168870337</v>
      </c>
      <c r="I804" s="25">
        <v>0.13546627929241126</v>
      </c>
    </row>
    <row r="805" spans="7:9" x14ac:dyDescent="0.2">
      <c r="G805" s="23">
        <v>3.4885736921773112</v>
      </c>
      <c r="H805" s="24">
        <v>0.59365816182209163</v>
      </c>
      <c r="I805" s="25">
        <v>0.14150716134761379</v>
      </c>
    </row>
    <row r="806" spans="7:9" x14ac:dyDescent="0.2">
      <c r="G806" s="23">
        <v>4.1165677125448399</v>
      </c>
      <c r="H806" s="24">
        <v>0.67320438773739144</v>
      </c>
      <c r="I806" s="25">
        <v>0.13924327893368318</v>
      </c>
    </row>
    <row r="807" spans="7:9" x14ac:dyDescent="0.2">
      <c r="G807" s="23">
        <v>1.9238521772931174</v>
      </c>
      <c r="H807" s="24">
        <v>0.29932340866440604</v>
      </c>
      <c r="I807" s="25">
        <v>0.1036064046535739</v>
      </c>
    </row>
    <row r="808" spans="7:9" x14ac:dyDescent="0.2">
      <c r="G808" s="23">
        <v>2.1034641165068697</v>
      </c>
      <c r="H808" s="24">
        <v>0.17819284140772529</v>
      </c>
      <c r="I808" s="25">
        <v>3.7173365261614529E-2</v>
      </c>
    </row>
    <row r="809" spans="7:9" x14ac:dyDescent="0.2">
      <c r="G809" s="23">
        <v>2.7428616587451482</v>
      </c>
      <c r="H809" s="24">
        <v>0.48968503107579592</v>
      </c>
      <c r="I809" s="25">
        <v>0.14207243312590531</v>
      </c>
    </row>
    <row r="810" spans="7:9" x14ac:dyDescent="0.2">
      <c r="G810" s="23">
        <v>2.564956058112299</v>
      </c>
      <c r="H810" s="24">
        <v>0.46162372646599592</v>
      </c>
      <c r="I810" s="25">
        <v>0.14098632365734165</v>
      </c>
    </row>
    <row r="811" spans="7:9" x14ac:dyDescent="0.2">
      <c r="G811" s="23">
        <v>2.0341335885824674</v>
      </c>
      <c r="H811" s="24">
        <v>0.35086528916685261</v>
      </c>
      <c r="I811" s="25">
        <v>0.12332783308079472</v>
      </c>
    </row>
    <row r="812" spans="7:9" x14ac:dyDescent="0.2">
      <c r="G812" s="23">
        <v>2.5055216412911165</v>
      </c>
      <c r="H812" s="24">
        <v>0.45173569145887499</v>
      </c>
      <c r="I812" s="25">
        <v>0.14038421547518803</v>
      </c>
    </row>
    <row r="813" spans="7:9" x14ac:dyDescent="0.2">
      <c r="G813" s="23">
        <v>2.7106515061664198</v>
      </c>
      <c r="H813" s="24">
        <v>0.48474870958015065</v>
      </c>
      <c r="I813" s="25">
        <v>0.14193956958863047</v>
      </c>
    </row>
    <row r="814" spans="7:9" x14ac:dyDescent="0.2">
      <c r="G814" s="23">
        <v>3.1820218452459237</v>
      </c>
      <c r="H814" s="24">
        <v>0.55273218303928928</v>
      </c>
      <c r="I814" s="25">
        <v>0.14227815004651032</v>
      </c>
    </row>
    <row r="815" spans="7:9" x14ac:dyDescent="0.2">
      <c r="G815" s="23">
        <v>1.9222309901999419</v>
      </c>
      <c r="H815" s="24">
        <v>0.25114760752440446</v>
      </c>
      <c r="I815" s="25">
        <v>7.8631343894089767E-2</v>
      </c>
    </row>
    <row r="816" spans="7:9" x14ac:dyDescent="0.2">
      <c r="G816" s="23">
        <v>5.3014866027951495</v>
      </c>
      <c r="H816" s="24">
        <v>0.81523729986972115</v>
      </c>
      <c r="I816" s="25">
        <v>0.1349125918761172</v>
      </c>
    </row>
    <row r="817" spans="7:9" x14ac:dyDescent="0.2">
      <c r="G817" s="23">
        <v>2.1019926840020711</v>
      </c>
      <c r="H817" s="24">
        <v>0.37034546367160542</v>
      </c>
      <c r="I817" s="25">
        <v>0.12861389301639592</v>
      </c>
    </row>
    <row r="818" spans="7:9" x14ac:dyDescent="0.2">
      <c r="G818" s="23">
        <v>2.0949684540034341</v>
      </c>
      <c r="H818" s="24">
        <v>0.36848925321178977</v>
      </c>
      <c r="I818" s="25">
        <v>0.12815909051451213</v>
      </c>
    </row>
    <row r="819" spans="7:9" x14ac:dyDescent="0.2">
      <c r="G819" s="23">
        <v>3.450966906764751</v>
      </c>
      <c r="H819" s="24">
        <v>0.58873189895343958</v>
      </c>
      <c r="I819" s="25">
        <v>0.14162172824818683</v>
      </c>
    </row>
    <row r="820" spans="7:9" x14ac:dyDescent="0.2">
      <c r="G820" s="23">
        <v>2.0688166289614625</v>
      </c>
      <c r="H820" s="24">
        <v>0.36128974660415591</v>
      </c>
      <c r="I820" s="25">
        <v>0.12629913229439102</v>
      </c>
    </row>
    <row r="821" spans="7:9" x14ac:dyDescent="0.2">
      <c r="G821" s="23">
        <v>2.8752434659421859</v>
      </c>
      <c r="H821" s="24">
        <v>0.50943909192597425</v>
      </c>
      <c r="I821" s="25">
        <v>0.14240153756916352</v>
      </c>
    </row>
    <row r="822" spans="7:9" x14ac:dyDescent="0.2">
      <c r="G822" s="23">
        <v>3.9243534647038301</v>
      </c>
      <c r="H822" s="24">
        <v>0.64931405959553101</v>
      </c>
      <c r="I822" s="25">
        <v>0.13997568339498986</v>
      </c>
    </row>
    <row r="823" spans="7:9" x14ac:dyDescent="0.2">
      <c r="G823" s="23">
        <v>1.9567571601431524</v>
      </c>
      <c r="H823" s="24">
        <v>0.32077571676639621</v>
      </c>
      <c r="I823" s="25">
        <v>0.11282734504476201</v>
      </c>
    </row>
    <row r="824" spans="7:9" x14ac:dyDescent="0.2">
      <c r="G824" s="23">
        <v>2.8273290928800487</v>
      </c>
      <c r="H824" s="24">
        <v>0.50238084071967215</v>
      </c>
      <c r="I824" s="25">
        <v>0.14231835984104427</v>
      </c>
    </row>
    <row r="825" spans="7:9" x14ac:dyDescent="0.2">
      <c r="G825" s="23">
        <v>1.9440920994443938</v>
      </c>
      <c r="H825" s="24">
        <v>0.31388540532181053</v>
      </c>
      <c r="I825" s="25">
        <v>0.11001814363260937</v>
      </c>
    </row>
    <row r="826" spans="7:9" x14ac:dyDescent="0.2">
      <c r="G826" s="23">
        <v>2.1511603975336961</v>
      </c>
      <c r="H826" s="24">
        <v>0.38260163443859074</v>
      </c>
      <c r="I826" s="25">
        <v>0.13137171606193437</v>
      </c>
    </row>
    <row r="827" spans="7:9" x14ac:dyDescent="0.2">
      <c r="G827" s="23">
        <v>2.4191435683887241</v>
      </c>
      <c r="H827" s="24">
        <v>0.43675619382332109</v>
      </c>
      <c r="I827" s="25">
        <v>0.13920471555869757</v>
      </c>
    </row>
    <row r="828" spans="7:9" x14ac:dyDescent="0.2">
      <c r="G828" s="23">
        <v>3.3636885482477843</v>
      </c>
      <c r="H828" s="24">
        <v>0.57720533177252387</v>
      </c>
      <c r="I828" s="25">
        <v>0.14186965393421871</v>
      </c>
    </row>
    <row r="829" spans="7:9" x14ac:dyDescent="0.2">
      <c r="G829" s="23">
        <v>2.0260980443607659</v>
      </c>
      <c r="H829" s="24">
        <v>0.2006553348966903</v>
      </c>
      <c r="I829" s="25">
        <v>4.9679399122232973E-2</v>
      </c>
    </row>
    <row r="830" spans="7:9" x14ac:dyDescent="0.2">
      <c r="G830" s="23">
        <v>2.7203754391052146</v>
      </c>
      <c r="H830" s="24">
        <v>0.48624488884465206</v>
      </c>
      <c r="I830" s="25">
        <v>0.1419821991487982</v>
      </c>
    </row>
    <row r="831" spans="7:9" x14ac:dyDescent="0.2">
      <c r="G831" s="23">
        <v>4.6845292939467109</v>
      </c>
      <c r="H831" s="24">
        <v>0.74218818058379143</v>
      </c>
      <c r="I831" s="25">
        <v>0.13708702386032737</v>
      </c>
    </row>
    <row r="832" spans="7:9" x14ac:dyDescent="0.2">
      <c r="G832" s="23">
        <v>3.2634786379565073</v>
      </c>
      <c r="H832" s="24">
        <v>0.563792935202865</v>
      </c>
      <c r="I832" s="25">
        <v>0.14211612367199747</v>
      </c>
    </row>
    <row r="833" spans="7:9" x14ac:dyDescent="0.2">
      <c r="G833" s="23">
        <v>2.1837393012630812</v>
      </c>
      <c r="H833" s="24">
        <v>0.39014650555361002</v>
      </c>
      <c r="I833" s="25">
        <v>0.1328668233866892</v>
      </c>
    </row>
    <row r="834" spans="7:9" x14ac:dyDescent="0.2">
      <c r="G834" s="23">
        <v>1.9783229975884145</v>
      </c>
      <c r="H834" s="24">
        <v>0.3306733565133062</v>
      </c>
      <c r="I834" s="25">
        <v>0.11660045164737105</v>
      </c>
    </row>
    <row r="835" spans="7:9" x14ac:dyDescent="0.2">
      <c r="G835" s="23">
        <v>2.4474783814410852</v>
      </c>
      <c r="H835" s="24">
        <v>0.44175902607717726</v>
      </c>
      <c r="I835" s="25">
        <v>0.13963719850543974</v>
      </c>
    </row>
    <row r="836" spans="7:9" x14ac:dyDescent="0.2">
      <c r="G836" s="23">
        <v>3.4247943368126319</v>
      </c>
      <c r="H836" s="24">
        <v>0.58528948199061559</v>
      </c>
      <c r="I836" s="25">
        <v>0.14169886795367279</v>
      </c>
    </row>
    <row r="837" spans="7:9" x14ac:dyDescent="0.2">
      <c r="G837" s="23">
        <v>4.1883848017496845</v>
      </c>
      <c r="H837" s="24">
        <v>0.68204935770691733</v>
      </c>
      <c r="I837" s="25">
        <v>0.13896749791796875</v>
      </c>
    </row>
    <row r="838" spans="7:9" x14ac:dyDescent="0.2">
      <c r="G838" s="23">
        <v>1.9246886288657747</v>
      </c>
      <c r="H838" s="24">
        <v>0.30008585867542803</v>
      </c>
      <c r="I838" s="25">
        <v>0.10395752028899509</v>
      </c>
    </row>
    <row r="839" spans="7:9" x14ac:dyDescent="0.2">
      <c r="G839" s="23">
        <v>2.9207180960541059</v>
      </c>
      <c r="H839" s="24">
        <v>0.51605233039302933</v>
      </c>
      <c r="I839" s="25">
        <v>0.14244864284060843</v>
      </c>
    </row>
    <row r="840" spans="7:9" x14ac:dyDescent="0.2">
      <c r="G840" s="23">
        <v>5.0351445265520027</v>
      </c>
      <c r="H840" s="24">
        <v>0.78389078486929187</v>
      </c>
      <c r="I840" s="25">
        <v>0.13582346639163795</v>
      </c>
    </row>
    <row r="841" spans="7:9" x14ac:dyDescent="0.2">
      <c r="G841" s="23">
        <v>1.9694384282333843</v>
      </c>
      <c r="H841" s="24">
        <v>0.32681002584206209</v>
      </c>
      <c r="I841" s="25">
        <v>0.11516482114924402</v>
      </c>
    </row>
    <row r="842" spans="7:9" x14ac:dyDescent="0.2">
      <c r="G842" s="23">
        <v>2.9564383429181929</v>
      </c>
      <c r="H842" s="24">
        <v>0.52119300223674392</v>
      </c>
      <c r="I842" s="25">
        <v>0.14246635711363542</v>
      </c>
    </row>
    <row r="843" spans="7:9" x14ac:dyDescent="0.2">
      <c r="G843" s="23">
        <v>1.916115503724368</v>
      </c>
      <c r="H843" s="24">
        <v>0.29067469108476129</v>
      </c>
      <c r="I843" s="25">
        <v>9.9511062471980091E-2</v>
      </c>
    </row>
    <row r="844" spans="7:9" x14ac:dyDescent="0.2">
      <c r="G844" s="23">
        <v>2.3340269858536038</v>
      </c>
      <c r="H844" s="24">
        <v>0.4210965144268739</v>
      </c>
      <c r="I844" s="25">
        <v>0.1375718939339195</v>
      </c>
    </row>
    <row r="845" spans="7:9" x14ac:dyDescent="0.2">
      <c r="G845" s="23">
        <v>2.6447690962434076</v>
      </c>
      <c r="H845" s="24">
        <v>0.47446581589435816</v>
      </c>
      <c r="I845" s="25">
        <v>0.14158733741109117</v>
      </c>
    </row>
    <row r="846" spans="7:9" x14ac:dyDescent="0.2">
      <c r="G846" s="23">
        <v>2.4454017323200743</v>
      </c>
      <c r="H846" s="24">
        <v>0.44139550868214072</v>
      </c>
      <c r="I846" s="25">
        <v>0.1396071257658453</v>
      </c>
    </row>
    <row r="847" spans="7:9" x14ac:dyDescent="0.2">
      <c r="G847" s="23">
        <v>2.5707395714083039</v>
      </c>
      <c r="H847" s="24">
        <v>0.4625701619370377</v>
      </c>
      <c r="I847" s="25">
        <v>0.14103729700177223</v>
      </c>
    </row>
    <row r="848" spans="7:9" x14ac:dyDescent="0.2">
      <c r="G848" s="23">
        <v>2.2547796601082446</v>
      </c>
      <c r="H848" s="24">
        <v>0.40543259730443459</v>
      </c>
      <c r="I848" s="25">
        <v>0.13546006344569192</v>
      </c>
    </row>
    <row r="849" spans="7:9" x14ac:dyDescent="0.2">
      <c r="G849" s="23">
        <v>1.9488145674330992</v>
      </c>
      <c r="H849" s="24">
        <v>0.23234210893884344</v>
      </c>
      <c r="I849" s="25">
        <v>6.7909030269125634E-2</v>
      </c>
    </row>
    <row r="850" spans="7:9" x14ac:dyDescent="0.2">
      <c r="G850" s="23">
        <v>3.7505778402665926</v>
      </c>
      <c r="H850" s="24">
        <v>0.6274011209889705</v>
      </c>
      <c r="I850" s="25">
        <v>0.14061863050451087</v>
      </c>
    </row>
    <row r="851" spans="7:9" x14ac:dyDescent="0.2">
      <c r="G851" s="23">
        <v>3.7296395624534822</v>
      </c>
      <c r="H851" s="24">
        <v>0.62473787613334131</v>
      </c>
      <c r="I851" s="25">
        <v>0.14069399089547274</v>
      </c>
    </row>
    <row r="852" spans="7:9" x14ac:dyDescent="0.2">
      <c r="G852" s="23">
        <v>2.8903527038291239</v>
      </c>
      <c r="H852" s="24">
        <v>0.5116452727690346</v>
      </c>
      <c r="I852" s="25">
        <v>0.14242042873645594</v>
      </c>
    </row>
    <row r="853" spans="7:9" x14ac:dyDescent="0.2">
      <c r="G853" s="23">
        <v>2.4171993625657113</v>
      </c>
      <c r="H853" s="24">
        <v>0.4364094296975487</v>
      </c>
      <c r="I853" s="25">
        <v>0.13917322394556411</v>
      </c>
    </row>
    <row r="854" spans="7:9" x14ac:dyDescent="0.2">
      <c r="G854" s="23">
        <v>2.7984709534389784</v>
      </c>
      <c r="H854" s="24">
        <v>0.4980815004542809</v>
      </c>
      <c r="I854" s="25">
        <v>0.14224964474795471</v>
      </c>
    </row>
    <row r="855" spans="7:9" x14ac:dyDescent="0.2">
      <c r="G855" s="23">
        <v>5.3638700217613966</v>
      </c>
      <c r="H855" s="24">
        <v>0.82254394118716556</v>
      </c>
      <c r="I855" s="25">
        <v>0.13470571374132204</v>
      </c>
    </row>
    <row r="856" spans="7:9" x14ac:dyDescent="0.2">
      <c r="G856" s="23">
        <v>2.3621509167454788</v>
      </c>
      <c r="H856" s="24">
        <v>0.42638625363709798</v>
      </c>
      <c r="I856" s="25">
        <v>0.13817332746743796</v>
      </c>
    </row>
    <row r="857" spans="7:9" x14ac:dyDescent="0.2">
      <c r="G857" s="23">
        <v>2.3557589387130546</v>
      </c>
      <c r="H857" s="24">
        <v>0.42519479860669601</v>
      </c>
      <c r="I857" s="25">
        <v>0.13804247615175474</v>
      </c>
    </row>
    <row r="858" spans="7:9" x14ac:dyDescent="0.2">
      <c r="G858" s="23">
        <v>3.3326586376158973</v>
      </c>
      <c r="H858" s="24">
        <v>0.57307360508648753</v>
      </c>
      <c r="I858" s="25">
        <v>0.14195081316062924</v>
      </c>
    </row>
    <row r="859" spans="7:9" x14ac:dyDescent="0.2">
      <c r="G859" s="23">
        <v>3.7493925818675886</v>
      </c>
      <c r="H859" s="24">
        <v>0.62725050207222732</v>
      </c>
      <c r="I859" s="25">
        <v>0.14062291133020952</v>
      </c>
    </row>
    <row r="860" spans="7:9" x14ac:dyDescent="0.2">
      <c r="G860" s="23">
        <v>3.7151306089734679</v>
      </c>
      <c r="H860" s="24">
        <v>0.62288929417566274</v>
      </c>
      <c r="I860" s="25">
        <v>0.14074587079726567</v>
      </c>
    </row>
    <row r="861" spans="7:9" x14ac:dyDescent="0.2">
      <c r="G861" s="23">
        <v>2.3108488899758068</v>
      </c>
      <c r="H861" s="24">
        <v>0.41663912399841357</v>
      </c>
      <c r="I861" s="25">
        <v>0.13702285938377065</v>
      </c>
    </row>
    <row r="862" spans="7:9" x14ac:dyDescent="0.2">
      <c r="G862" s="23">
        <v>2.0461444819356776</v>
      </c>
      <c r="H862" s="24">
        <v>0.19431479295514983</v>
      </c>
      <c r="I862" s="25">
        <v>4.6093906025546534E-2</v>
      </c>
    </row>
    <row r="863" spans="7:9" x14ac:dyDescent="0.2">
      <c r="G863" s="23">
        <v>2.5305358240462175</v>
      </c>
      <c r="H863" s="24">
        <v>0.45593456979047009</v>
      </c>
      <c r="I863" s="25">
        <v>0.1406558108832579</v>
      </c>
    </row>
    <row r="864" spans="7:9" x14ac:dyDescent="0.2">
      <c r="G864" s="23">
        <v>1.9752449027169012</v>
      </c>
      <c r="H864" s="24">
        <v>0.32936372830944732</v>
      </c>
      <c r="I864" s="25">
        <v>0.11611913363444046</v>
      </c>
    </row>
    <row r="865" spans="7:9" x14ac:dyDescent="0.2">
      <c r="G865" s="23">
        <v>2.1007139932770964</v>
      </c>
      <c r="H865" s="24">
        <v>0.37000978419197084</v>
      </c>
      <c r="I865" s="25">
        <v>0.12853238640098821</v>
      </c>
    </row>
    <row r="866" spans="7:9" x14ac:dyDescent="0.2">
      <c r="G866" s="23">
        <v>3.757492936224593</v>
      </c>
      <c r="H866" s="24">
        <v>0.6282795379336531</v>
      </c>
      <c r="I866" s="25">
        <v>0.14059362064279357</v>
      </c>
    </row>
    <row r="867" spans="7:9" x14ac:dyDescent="0.2">
      <c r="G867" s="23">
        <v>3.5711882296575448</v>
      </c>
      <c r="H867" s="24">
        <v>0.60440188515535043</v>
      </c>
      <c r="I867" s="25">
        <v>0.14124203240712499</v>
      </c>
    </row>
    <row r="868" spans="7:9" x14ac:dyDescent="0.2">
      <c r="G868" s="23">
        <v>3.6522312582899503</v>
      </c>
      <c r="H868" s="24">
        <v>0.61484472588240968</v>
      </c>
      <c r="I868" s="25">
        <v>0.14096717540097789</v>
      </c>
    </row>
    <row r="869" spans="7:9" x14ac:dyDescent="0.2">
      <c r="G869" s="23">
        <v>3.6609860313452232</v>
      </c>
      <c r="H869" s="24">
        <v>0.61596747887898773</v>
      </c>
      <c r="I869" s="25">
        <v>0.14093675118429236</v>
      </c>
    </row>
    <row r="870" spans="7:9" x14ac:dyDescent="0.2">
      <c r="G870" s="23">
        <v>2.0266222541903223</v>
      </c>
      <c r="H870" s="24">
        <v>0.34843994725809174</v>
      </c>
      <c r="I870" s="25">
        <v>0.12258818596030495</v>
      </c>
    </row>
    <row r="871" spans="7:9" x14ac:dyDescent="0.2">
      <c r="G871" s="23">
        <v>3.125519882654292</v>
      </c>
      <c r="H871" s="24">
        <v>0.54496661112040412</v>
      </c>
      <c r="I871" s="25">
        <v>0.14236563078664791</v>
      </c>
    </row>
    <row r="872" spans="7:9" x14ac:dyDescent="0.2">
      <c r="G872" s="23">
        <v>1.9110015501535249</v>
      </c>
      <c r="H872" s="24">
        <v>0.27983110148321361</v>
      </c>
      <c r="I872" s="25">
        <v>9.4103063379854565E-2</v>
      </c>
    </row>
    <row r="873" spans="7:9" x14ac:dyDescent="0.2">
      <c r="G873" s="23">
        <v>5.2084490446494254</v>
      </c>
      <c r="H873" s="24">
        <v>0.80431627751052726</v>
      </c>
      <c r="I873" s="25">
        <v>0.13522572074386452</v>
      </c>
    </row>
    <row r="874" spans="7:9" x14ac:dyDescent="0.2">
      <c r="G874" s="23">
        <v>4.3980908239892909</v>
      </c>
      <c r="H874" s="24">
        <v>0.70765795927379338</v>
      </c>
      <c r="I874" s="25">
        <v>0.13816403119035653</v>
      </c>
    </row>
    <row r="875" spans="7:9" x14ac:dyDescent="0.2">
      <c r="G875" s="23">
        <v>1.9498525010088785</v>
      </c>
      <c r="H875" s="24">
        <v>0.31715181473173004</v>
      </c>
      <c r="I875" s="25">
        <v>0.11136832818341737</v>
      </c>
    </row>
    <row r="876" spans="7:9" x14ac:dyDescent="0.2">
      <c r="G876" s="23">
        <v>1.9196829629703251</v>
      </c>
      <c r="H876" s="24">
        <v>0.2951133251141827</v>
      </c>
      <c r="I876" s="25">
        <v>0.10163830558883941</v>
      </c>
    </row>
    <row r="877" spans="7:9" x14ac:dyDescent="0.2">
      <c r="G877" s="23">
        <v>3.5433617940780668</v>
      </c>
      <c r="H877" s="24">
        <v>0.60079473061344268</v>
      </c>
      <c r="I877" s="25">
        <v>0.14133321919322278</v>
      </c>
    </row>
    <row r="878" spans="7:9" x14ac:dyDescent="0.2">
      <c r="G878" s="23">
        <v>1.9480248160182709</v>
      </c>
      <c r="H878" s="24">
        <v>0.2327812491223111</v>
      </c>
      <c r="I878" s="25">
        <v>6.8161989796206787E-2</v>
      </c>
    </row>
    <row r="879" spans="7:9" x14ac:dyDescent="0.2">
      <c r="G879" s="23">
        <v>2.5773334819858085</v>
      </c>
      <c r="H879" s="24">
        <v>0.46364601675020961</v>
      </c>
      <c r="I879" s="25">
        <v>0.14109389328225699</v>
      </c>
    </row>
    <row r="880" spans="7:9" x14ac:dyDescent="0.2">
      <c r="G880" s="23">
        <v>1.9831135974746037</v>
      </c>
      <c r="H880" s="24">
        <v>0.21626651620746049</v>
      </c>
      <c r="I880" s="25">
        <v>5.8628267621887102E-2</v>
      </c>
    </row>
    <row r="881" spans="7:9" x14ac:dyDescent="0.2">
      <c r="G881" s="23">
        <v>2.0420100596031663</v>
      </c>
      <c r="H881" s="24">
        <v>0.35333764694002467</v>
      </c>
      <c r="I881" s="25">
        <v>0.12406287826963051</v>
      </c>
    </row>
    <row r="882" spans="7:9" x14ac:dyDescent="0.2">
      <c r="G882" s="23">
        <v>2.5666846379285335</v>
      </c>
      <c r="H882" s="24">
        <v>0.46190687476840786</v>
      </c>
      <c r="I882" s="25">
        <v>0.14100169063635803</v>
      </c>
    </row>
    <row r="883" spans="7:9" x14ac:dyDescent="0.2">
      <c r="G883" s="23">
        <v>3.0979875147694416</v>
      </c>
      <c r="H883" s="24">
        <v>0.54115252382500356</v>
      </c>
      <c r="I883" s="25">
        <v>0.14239970956361936</v>
      </c>
    </row>
    <row r="884" spans="7:9" x14ac:dyDescent="0.2">
      <c r="G884" s="23">
        <v>2.367381103059746</v>
      </c>
      <c r="H884" s="24">
        <v>0.42735662287207388</v>
      </c>
      <c r="I884" s="25">
        <v>0.13827795658200631</v>
      </c>
    </row>
    <row r="885" spans="7:9" x14ac:dyDescent="0.2">
      <c r="G885" s="23">
        <v>3.7459428469697795</v>
      </c>
      <c r="H885" s="24">
        <v>0.6268120254993983</v>
      </c>
      <c r="I885" s="25">
        <v>0.14063536085059022</v>
      </c>
    </row>
    <row r="886" spans="7:9" x14ac:dyDescent="0.2">
      <c r="G886" s="23">
        <v>4.3059068682870736</v>
      </c>
      <c r="H886" s="24">
        <v>0.69643869409575254</v>
      </c>
      <c r="I886" s="25">
        <v>0.13851639407215161</v>
      </c>
    </row>
    <row r="887" spans="7:9" x14ac:dyDescent="0.2">
      <c r="G887" s="23">
        <v>1.9105137207175924</v>
      </c>
      <c r="H887" s="24">
        <v>0.27190462398628462</v>
      </c>
      <c r="I887" s="25">
        <v>8.9978219277902283E-2</v>
      </c>
    </row>
    <row r="888" spans="7:9" x14ac:dyDescent="0.2">
      <c r="G888" s="23">
        <v>1.9116809027428032</v>
      </c>
      <c r="H888" s="24">
        <v>0.28220015895616229</v>
      </c>
      <c r="I888" s="25">
        <v>9.5308875662581907E-2</v>
      </c>
    </row>
    <row r="889" spans="7:9" x14ac:dyDescent="0.2">
      <c r="G889" s="23">
        <v>4.3624725768003403</v>
      </c>
      <c r="H889" s="24">
        <v>0.70332973918868746</v>
      </c>
      <c r="I889" s="25">
        <v>0.13829994964486036</v>
      </c>
    </row>
    <row r="890" spans="7:9" x14ac:dyDescent="0.2">
      <c r="G890" s="23">
        <v>2.53665067403902</v>
      </c>
      <c r="H890" s="24">
        <v>0.45695254923238671</v>
      </c>
      <c r="I890" s="25">
        <v>0.14071805447847005</v>
      </c>
    </row>
    <row r="891" spans="7:9" x14ac:dyDescent="0.2">
      <c r="G891" s="23">
        <v>3.5762831926748588</v>
      </c>
      <c r="H891" s="24">
        <v>0.60506111827046472</v>
      </c>
      <c r="I891" s="25">
        <v>0.14122514621181084</v>
      </c>
    </row>
    <row r="892" spans="7:9" x14ac:dyDescent="0.2">
      <c r="G892" s="23">
        <v>2.7739855641958995</v>
      </c>
      <c r="H892" s="24">
        <v>0.49440322339996629</v>
      </c>
      <c r="I892" s="25">
        <v>0.14217926257456087</v>
      </c>
    </row>
    <row r="893" spans="7:9" x14ac:dyDescent="0.2">
      <c r="G893" s="23">
        <v>2.7896822837634505</v>
      </c>
      <c r="H893" s="24">
        <v>0.49676452905197466</v>
      </c>
      <c r="I893" s="25">
        <v>0.14222570429296311</v>
      </c>
    </row>
    <row r="894" spans="7:9" x14ac:dyDescent="0.2">
      <c r="G894" s="23">
        <v>1.9103882986627208</v>
      </c>
      <c r="H894" s="24">
        <v>0.27356268762304742</v>
      </c>
      <c r="I894" s="25">
        <v>9.0852046285263499E-2</v>
      </c>
    </row>
    <row r="895" spans="7:9" x14ac:dyDescent="0.2">
      <c r="G895" s="23">
        <v>4.5804549642658356</v>
      </c>
      <c r="H895" s="24">
        <v>0.72969567274115843</v>
      </c>
      <c r="I895" s="25">
        <v>0.13747448150098146</v>
      </c>
    </row>
    <row r="896" spans="7:9" x14ac:dyDescent="0.2">
      <c r="G896" s="23">
        <v>2.7032052895430234</v>
      </c>
      <c r="H896" s="24">
        <v>0.48359941114932103</v>
      </c>
      <c r="I896" s="25">
        <v>0.14190539325411439</v>
      </c>
    </row>
    <row r="897" spans="7:9" x14ac:dyDescent="0.2">
      <c r="G897" s="23">
        <v>2.7757676656384112</v>
      </c>
      <c r="H897" s="24">
        <v>0.49467191128494004</v>
      </c>
      <c r="I897" s="25">
        <v>0.14218477817164557</v>
      </c>
    </row>
    <row r="898" spans="7:9" x14ac:dyDescent="0.2">
      <c r="G898" s="23">
        <v>2.0030072615981545</v>
      </c>
      <c r="H898" s="24">
        <v>0.20862173692989547</v>
      </c>
      <c r="I898" s="25">
        <v>5.4229326833849074E-2</v>
      </c>
    </row>
    <row r="899" spans="7:9" x14ac:dyDescent="0.2">
      <c r="G899" s="23">
        <v>3.3060445374276242</v>
      </c>
      <c r="H899" s="24">
        <v>0.56951485112292455</v>
      </c>
      <c r="I899" s="25">
        <v>0.1420170975670309</v>
      </c>
    </row>
    <row r="900" spans="7:9" x14ac:dyDescent="0.2">
      <c r="G900" s="23">
        <v>5.2669482200859186</v>
      </c>
      <c r="H900" s="24">
        <v>0.81118651067282577</v>
      </c>
      <c r="I900" s="25">
        <v>0.13502819459484039</v>
      </c>
    </row>
    <row r="901" spans="7:9" x14ac:dyDescent="0.2">
      <c r="G901" s="23">
        <v>4.5021171074128636</v>
      </c>
      <c r="H901" s="24">
        <v>0.72025315286023928</v>
      </c>
      <c r="I901" s="25">
        <v>0.1377692175862904</v>
      </c>
    </row>
    <row r="902" spans="7:9" x14ac:dyDescent="0.2">
      <c r="G902" s="23">
        <v>2.6035738450475128</v>
      </c>
      <c r="H902" s="24">
        <v>0.46789471057897453</v>
      </c>
      <c r="I902" s="25">
        <v>0.14130373516720618</v>
      </c>
    </row>
    <row r="903" spans="7:9" x14ac:dyDescent="0.2">
      <c r="G903" s="23">
        <v>3.4360753241609974</v>
      </c>
      <c r="H903" s="24">
        <v>0.58677468059327142</v>
      </c>
      <c r="I903" s="25">
        <v>0.14166589296816809</v>
      </c>
    </row>
    <row r="904" spans="7:9" x14ac:dyDescent="0.2">
      <c r="G904" s="23">
        <v>1.9111452145548347</v>
      </c>
      <c r="H904" s="24">
        <v>0.26851219283027156</v>
      </c>
      <c r="I904" s="25">
        <v>8.8173410401682736E-2</v>
      </c>
    </row>
    <row r="905" spans="7:9" x14ac:dyDescent="0.2">
      <c r="G905" s="23">
        <v>2.3695554200954256</v>
      </c>
      <c r="H905" s="24">
        <v>0.42775884956966448</v>
      </c>
      <c r="I905" s="25">
        <v>0.13832081971999161</v>
      </c>
    </row>
    <row r="906" spans="7:9" x14ac:dyDescent="0.2">
      <c r="G906" s="23">
        <v>3.5671741399031984</v>
      </c>
      <c r="H906" s="24">
        <v>0.6038822398504291</v>
      </c>
      <c r="I906" s="25">
        <v>0.14125529581630875</v>
      </c>
    </row>
    <row r="907" spans="7:9" x14ac:dyDescent="0.2">
      <c r="G907" s="23">
        <v>4.5930460590557463</v>
      </c>
      <c r="H907" s="24">
        <v>0.73121012840935007</v>
      </c>
      <c r="I907" s="25">
        <v>0.13742734533975046</v>
      </c>
    </row>
    <row r="908" spans="7:9" x14ac:dyDescent="0.2">
      <c r="G908" s="23">
        <v>1.9153990790853066</v>
      </c>
      <c r="H908" s="24">
        <v>0.28962868898353406</v>
      </c>
      <c r="I908" s="25">
        <v>9.9002181615318818E-2</v>
      </c>
    </row>
    <row r="909" spans="7:9" x14ac:dyDescent="0.2">
      <c r="G909" s="23">
        <v>1.9470455789574435</v>
      </c>
      <c r="H909" s="24">
        <v>0.31559137433730705</v>
      </c>
      <c r="I909" s="25">
        <v>0.11072744016738968</v>
      </c>
    </row>
    <row r="910" spans="7:9" x14ac:dyDescent="0.2">
      <c r="G910" s="23">
        <v>1.9195974545550774</v>
      </c>
      <c r="H910" s="24">
        <v>0.25390532296288076</v>
      </c>
      <c r="I910" s="25">
        <v>8.0175831191876989E-2</v>
      </c>
    </row>
    <row r="911" spans="7:9" x14ac:dyDescent="0.2">
      <c r="G911" s="23">
        <v>2.1470918113499247</v>
      </c>
      <c r="H911" s="24">
        <v>0.38163041283089971</v>
      </c>
      <c r="I911" s="25">
        <v>0.1311683132747436</v>
      </c>
    </row>
    <row r="912" spans="7:9" x14ac:dyDescent="0.2">
      <c r="G912" s="23">
        <v>2.2752231138985746</v>
      </c>
      <c r="H912" s="24">
        <v>0.40959406886153754</v>
      </c>
      <c r="I912" s="25">
        <v>0.1360719594839799</v>
      </c>
    </row>
    <row r="913" spans="7:9" x14ac:dyDescent="0.2">
      <c r="G913" s="23">
        <v>2.946465598737805</v>
      </c>
      <c r="H913" s="24">
        <v>0.51976235852491304</v>
      </c>
      <c r="I913" s="25">
        <v>0.14246300965285766</v>
      </c>
    </row>
    <row r="914" spans="7:9" x14ac:dyDescent="0.2">
      <c r="G914" s="23">
        <v>2.3954624425570517</v>
      </c>
      <c r="H914" s="24">
        <v>0.43250015192621688</v>
      </c>
      <c r="I914" s="25">
        <v>0.13880415928423881</v>
      </c>
    </row>
    <row r="915" spans="7:9" x14ac:dyDescent="0.2">
      <c r="G915" s="23">
        <v>2.5275197024757068</v>
      </c>
      <c r="H915" s="24">
        <v>0.45543125718140898</v>
      </c>
      <c r="I915" s="25">
        <v>0.14062452424926611</v>
      </c>
    </row>
    <row r="916" spans="7:9" x14ac:dyDescent="0.2">
      <c r="G916" s="23">
        <v>2.2316050354085872</v>
      </c>
      <c r="H916" s="24">
        <v>0.40059710273743476</v>
      </c>
      <c r="I916" s="25">
        <v>0.13469995652357092</v>
      </c>
    </row>
    <row r="917" spans="7:9" x14ac:dyDescent="0.2">
      <c r="G917" s="23">
        <v>3.0112163432544508</v>
      </c>
      <c r="H917" s="24">
        <v>0.52899113422198596</v>
      </c>
      <c r="I917" s="25">
        <v>0.14246440103610306</v>
      </c>
    </row>
    <row r="918" spans="7:9" x14ac:dyDescent="0.2">
      <c r="G918" s="23">
        <v>3.9203042953778993</v>
      </c>
      <c r="H918" s="24">
        <v>0.64880708302018286</v>
      </c>
      <c r="I918" s="25">
        <v>0.13999093952403618</v>
      </c>
    </row>
    <row r="919" spans="7:9" x14ac:dyDescent="0.2">
      <c r="G919" s="23">
        <v>4.5501415745093627</v>
      </c>
      <c r="H919" s="24">
        <v>0.72604596721969406</v>
      </c>
      <c r="I919" s="25">
        <v>0.13758823884443286</v>
      </c>
    </row>
    <row r="920" spans="7:9" x14ac:dyDescent="0.2">
      <c r="G920" s="23">
        <v>2.4816200720507737</v>
      </c>
      <c r="H920" s="24">
        <v>0.44766884401186563</v>
      </c>
      <c r="I920" s="25">
        <v>0.14009753001169159</v>
      </c>
    </row>
    <row r="921" spans="7:9" x14ac:dyDescent="0.2">
      <c r="G921" s="23">
        <v>2.7619017475781034</v>
      </c>
      <c r="H921" s="24">
        <v>0.49257720511464587</v>
      </c>
      <c r="I921" s="25">
        <v>0.14214017713294058</v>
      </c>
    </row>
    <row r="922" spans="7:9" x14ac:dyDescent="0.2">
      <c r="G922" s="23">
        <v>3.8383155213592715</v>
      </c>
      <c r="H922" s="24">
        <v>0.63850564469736359</v>
      </c>
      <c r="I922" s="25">
        <v>0.14029738832323646</v>
      </c>
    </row>
    <row r="923" spans="7:9" x14ac:dyDescent="0.2">
      <c r="G923" s="23">
        <v>2.0593346863663369</v>
      </c>
      <c r="H923" s="24">
        <v>0.35855126069301396</v>
      </c>
      <c r="I923" s="25">
        <v>0.12555086888722658</v>
      </c>
    </row>
    <row r="924" spans="7:9" x14ac:dyDescent="0.2">
      <c r="G924" s="23">
        <v>3.1500103963012149</v>
      </c>
      <c r="H924" s="24">
        <v>0.54834248357272508</v>
      </c>
      <c r="I924" s="25">
        <v>0.14233047694352335</v>
      </c>
    </row>
    <row r="925" spans="7:9" x14ac:dyDescent="0.2">
      <c r="G925" s="23">
        <v>3.364697270644851</v>
      </c>
      <c r="H925" s="24">
        <v>0.57733933826591144</v>
      </c>
      <c r="I925" s="25">
        <v>0.14186694920233114</v>
      </c>
    </row>
    <row r="926" spans="7:9" x14ac:dyDescent="0.2">
      <c r="G926" s="23">
        <v>1.9294433964075535</v>
      </c>
      <c r="H926" s="24">
        <v>0.3040543794015011</v>
      </c>
      <c r="I926" s="25">
        <v>0.10575815714071504</v>
      </c>
    </row>
    <row r="927" spans="7:9" x14ac:dyDescent="0.2">
      <c r="G927" s="23">
        <v>4.3751951719311792</v>
      </c>
      <c r="H927" s="24">
        <v>0.70487670034459726</v>
      </c>
      <c r="I927" s="25">
        <v>0.13825136367287885</v>
      </c>
    </row>
    <row r="928" spans="7:9" x14ac:dyDescent="0.2">
      <c r="G928" s="23">
        <v>4.3877889610716965</v>
      </c>
      <c r="H928" s="24">
        <v>0.70640695646368057</v>
      </c>
      <c r="I928" s="25">
        <v>0.13820330930990182</v>
      </c>
    </row>
    <row r="929" spans="7:9" x14ac:dyDescent="0.2">
      <c r="G929" s="23">
        <v>2.1509612917529841</v>
      </c>
      <c r="H929" s="24">
        <v>0.3825542659003186</v>
      </c>
      <c r="I929" s="25">
        <v>0.13136185457801858</v>
      </c>
    </row>
    <row r="930" spans="7:9" x14ac:dyDescent="0.2">
      <c r="G930" s="23">
        <v>1.9413155998767186</v>
      </c>
      <c r="H930" s="24">
        <v>0.31221394306915795</v>
      </c>
      <c r="I930" s="25">
        <v>0.10931449867941012</v>
      </c>
    </row>
    <row r="931" spans="7:9" x14ac:dyDescent="0.2">
      <c r="G931" s="23">
        <v>2.7262558279786364</v>
      </c>
      <c r="H931" s="24">
        <v>0.48714715116245588</v>
      </c>
      <c r="I931" s="25">
        <v>0.14200690401068755</v>
      </c>
    </row>
    <row r="932" spans="7:9" x14ac:dyDescent="0.2">
      <c r="G932" s="23">
        <v>3.7890682165737948</v>
      </c>
      <c r="H932" s="24">
        <v>0.63228341419038381</v>
      </c>
      <c r="I932" s="25">
        <v>0.1404787093491752</v>
      </c>
    </row>
    <row r="933" spans="7:9" x14ac:dyDescent="0.2">
      <c r="G933" s="23">
        <v>1.982694655220586</v>
      </c>
      <c r="H933" s="24">
        <v>0.33248592633936042</v>
      </c>
      <c r="I933" s="25">
        <v>0.11725755362132599</v>
      </c>
    </row>
    <row r="934" spans="7:9" x14ac:dyDescent="0.2">
      <c r="G934" s="23">
        <v>2.6916963841352994</v>
      </c>
      <c r="H934" s="24">
        <v>0.48181680893085521</v>
      </c>
      <c r="I934" s="25">
        <v>0.1418498793887546</v>
      </c>
    </row>
    <row r="935" spans="7:9" x14ac:dyDescent="0.2">
      <c r="G935" s="23">
        <v>2.8806336543190185</v>
      </c>
      <c r="H935" s="24">
        <v>0.51022718246026078</v>
      </c>
      <c r="I935" s="25">
        <v>0.14240866080109804</v>
      </c>
    </row>
    <row r="936" spans="7:9" x14ac:dyDescent="0.2">
      <c r="G936" s="23">
        <v>2.9918865376458834</v>
      </c>
      <c r="H936" s="24">
        <v>0.52625067106295309</v>
      </c>
      <c r="I936" s="25">
        <v>0.14246886177315576</v>
      </c>
    </row>
    <row r="937" spans="7:9" x14ac:dyDescent="0.2">
      <c r="G937" s="23">
        <v>4.6044122488207746</v>
      </c>
      <c r="H937" s="24">
        <v>0.73257650675462527</v>
      </c>
      <c r="I937" s="25">
        <v>0.13738485415299573</v>
      </c>
    </row>
    <row r="938" spans="7:9" x14ac:dyDescent="0.2">
      <c r="G938" s="23">
        <v>1.9178476818236607</v>
      </c>
      <c r="H938" s="24">
        <v>0.29296231680696161</v>
      </c>
      <c r="I938" s="25">
        <v>0.10061399408599525</v>
      </c>
    </row>
    <row r="939" spans="7:9" x14ac:dyDescent="0.2">
      <c r="G939" s="23">
        <v>1.9472266080316929</v>
      </c>
      <c r="H939" s="24">
        <v>0.2332296599578651</v>
      </c>
      <c r="I939" s="25">
        <v>6.8420212582458992E-2</v>
      </c>
    </row>
    <row r="940" spans="7:9" x14ac:dyDescent="0.2">
      <c r="G940" s="23">
        <v>2.1528141494633726</v>
      </c>
      <c r="H940" s="24">
        <v>0.16592894324978649</v>
      </c>
      <c r="I940" s="25">
        <v>3.0624539408617479E-2</v>
      </c>
    </row>
    <row r="941" spans="7:9" x14ac:dyDescent="0.2">
      <c r="G941" s="23">
        <v>2.2910731159581768</v>
      </c>
      <c r="H941" s="24">
        <v>0.41275920102259139</v>
      </c>
      <c r="I941" s="25">
        <v>0.1365120987863683</v>
      </c>
    </row>
    <row r="942" spans="7:9" x14ac:dyDescent="0.2">
      <c r="G942" s="23">
        <v>2.7932499867239864</v>
      </c>
      <c r="H942" s="24">
        <v>0.49729958369793392</v>
      </c>
      <c r="I942" s="25">
        <v>0.14223559799378485</v>
      </c>
    </row>
    <row r="943" spans="7:9" x14ac:dyDescent="0.2">
      <c r="G943" s="23">
        <v>2.7077296052596416</v>
      </c>
      <c r="H943" s="24">
        <v>0.48429809778018457</v>
      </c>
      <c r="I943" s="25">
        <v>0.14192631920986012</v>
      </c>
    </row>
    <row r="944" spans="7:9" x14ac:dyDescent="0.2">
      <c r="G944" s="23">
        <v>3.2032401468090721</v>
      </c>
      <c r="H944" s="24">
        <v>0.555628077113965</v>
      </c>
      <c r="I944" s="25">
        <v>0.14223974936057343</v>
      </c>
    </row>
    <row r="945" spans="7:9" x14ac:dyDescent="0.2">
      <c r="G945" s="23">
        <v>1.9561666987745394</v>
      </c>
      <c r="H945" s="24">
        <v>0.22844689537798382</v>
      </c>
      <c r="I945" s="25">
        <v>6.5662550113103638E-2</v>
      </c>
    </row>
    <row r="946" spans="7:9" x14ac:dyDescent="0.2">
      <c r="G946" s="23">
        <v>2.8957938164296508</v>
      </c>
      <c r="H946" s="24">
        <v>0.51243755915813682</v>
      </c>
      <c r="I946" s="25">
        <v>0.14242642391457716</v>
      </c>
    </row>
    <row r="947" spans="7:9" x14ac:dyDescent="0.2">
      <c r="G947" s="23">
        <v>2.7405345866538808</v>
      </c>
      <c r="H947" s="24">
        <v>0.48933026456488804</v>
      </c>
      <c r="I947" s="25">
        <v>0.14206361962033609</v>
      </c>
    </row>
    <row r="948" spans="7:9" x14ac:dyDescent="0.2">
      <c r="G948" s="23">
        <v>2.4062907618141391</v>
      </c>
      <c r="H948" s="24">
        <v>0.43445509751627487</v>
      </c>
      <c r="I948" s="25">
        <v>0.13899197110078584</v>
      </c>
    </row>
    <row r="949" spans="7:9" x14ac:dyDescent="0.2">
      <c r="G949" s="23">
        <v>1.920150760370489</v>
      </c>
      <c r="H949" s="24">
        <v>0.25329641596849478</v>
      </c>
      <c r="I949" s="25">
        <v>7.9835613766494271E-2</v>
      </c>
    </row>
    <row r="950" spans="7:9" x14ac:dyDescent="0.2">
      <c r="G950" s="23">
        <v>2.5918864485519957</v>
      </c>
      <c r="H950" s="24">
        <v>0.46600868293898584</v>
      </c>
      <c r="I950" s="25">
        <v>0.14121323935828559</v>
      </c>
    </row>
    <row r="951" spans="7:9" x14ac:dyDescent="0.2">
      <c r="G951" s="23">
        <v>2.9861726628802061</v>
      </c>
      <c r="H951" s="24">
        <v>0.52543827121426634</v>
      </c>
      <c r="I951" s="25">
        <v>0.1424694141141219</v>
      </c>
    </row>
    <row r="952" spans="7:9" x14ac:dyDescent="0.2">
      <c r="G952" s="23">
        <v>2.0443676257021033</v>
      </c>
      <c r="H952" s="24">
        <v>0.1948588371652179</v>
      </c>
      <c r="I952" s="25">
        <v>4.6400086991459831E-2</v>
      </c>
    </row>
    <row r="953" spans="7:9" x14ac:dyDescent="0.2">
      <c r="G953" s="23">
        <v>2.6161271191505118</v>
      </c>
      <c r="H953" s="24">
        <v>0.46990950399690995</v>
      </c>
      <c r="I953" s="25">
        <v>0.14139584418470763</v>
      </c>
    </row>
    <row r="954" spans="7:9" x14ac:dyDescent="0.2">
      <c r="G954" s="23">
        <v>2.8627480282161626</v>
      </c>
      <c r="H954" s="24">
        <v>0.50760764011534421</v>
      </c>
      <c r="I954" s="25">
        <v>0.14238334446752438</v>
      </c>
    </row>
    <row r="955" spans="7:9" x14ac:dyDescent="0.2">
      <c r="G955" s="23">
        <v>4.0180726869457963</v>
      </c>
      <c r="H955" s="24">
        <v>0.66100411006809434</v>
      </c>
      <c r="I955" s="25">
        <v>0.13962019910705167</v>
      </c>
    </row>
    <row r="956" spans="7:9" x14ac:dyDescent="0.2">
      <c r="G956" s="23">
        <v>2.913104096114997</v>
      </c>
      <c r="H956" s="24">
        <v>0.51495055818545954</v>
      </c>
      <c r="I956" s="25">
        <v>0.14244274938500617</v>
      </c>
    </row>
    <row r="957" spans="7:9" x14ac:dyDescent="0.2">
      <c r="G957" s="23">
        <v>3.0936548336727703</v>
      </c>
      <c r="H957" s="24">
        <v>0.54055043655942814</v>
      </c>
      <c r="I957" s="25">
        <v>0.14240452111016305</v>
      </c>
    </row>
    <row r="958" spans="7:9" x14ac:dyDescent="0.2">
      <c r="G958" s="23">
        <v>2.81111003183078</v>
      </c>
      <c r="H958" s="24">
        <v>0.49996914768002604</v>
      </c>
      <c r="I958" s="25">
        <v>0.1422815690816</v>
      </c>
    </row>
    <row r="959" spans="7:9" x14ac:dyDescent="0.2">
      <c r="G959" s="23">
        <v>2.1150895341207478</v>
      </c>
      <c r="H959" s="24">
        <v>0.37372962457209918</v>
      </c>
      <c r="I959" s="25">
        <v>0.12941751101604013</v>
      </c>
    </row>
    <row r="960" spans="7:9" x14ac:dyDescent="0.2">
      <c r="G960" s="23">
        <v>4.2082271228081085</v>
      </c>
      <c r="H960" s="24">
        <v>0.6844860109417954</v>
      </c>
      <c r="I960" s="25">
        <v>0.13889126998013773</v>
      </c>
    </row>
    <row r="961" spans="7:9" x14ac:dyDescent="0.2">
      <c r="G961" s="23">
        <v>2.679297386825664</v>
      </c>
      <c r="H961" s="24">
        <v>0.47988765958166824</v>
      </c>
      <c r="I961" s="25">
        <v>0.14178629813901678</v>
      </c>
    </row>
    <row r="962" spans="7:9" x14ac:dyDescent="0.2">
      <c r="G962" s="23">
        <v>3.3679470465285863</v>
      </c>
      <c r="H962" s="24">
        <v>0.57777093382582678</v>
      </c>
      <c r="I962" s="25">
        <v>0.14185820790387996</v>
      </c>
    </row>
    <row r="963" spans="7:9" x14ac:dyDescent="0.2">
      <c r="G963" s="23">
        <v>2.0315390075693593</v>
      </c>
      <c r="H963" s="24">
        <v>0.19888807257860919</v>
      </c>
      <c r="I963" s="25">
        <v>4.8676432359922042E-2</v>
      </c>
    </row>
    <row r="964" spans="7:9" x14ac:dyDescent="0.2">
      <c r="G964" s="23">
        <v>3.0833142141923631</v>
      </c>
      <c r="H964" s="24">
        <v>0.53911135340291838</v>
      </c>
      <c r="I964" s="25">
        <v>0.14241537560187398</v>
      </c>
    </row>
    <row r="965" spans="7:9" x14ac:dyDescent="0.2">
      <c r="G965" s="23">
        <v>2.200390881842575</v>
      </c>
      <c r="H965" s="24">
        <v>0.39385982409819914</v>
      </c>
      <c r="I965" s="25">
        <v>0.13354891852760684</v>
      </c>
    </row>
    <row r="966" spans="7:9" x14ac:dyDescent="0.2">
      <c r="G966" s="23">
        <v>2.1974594532041318</v>
      </c>
      <c r="H966" s="24">
        <v>0.39321250931212892</v>
      </c>
      <c r="I966" s="25">
        <v>0.13343249969617299</v>
      </c>
    </row>
    <row r="967" spans="7:9" x14ac:dyDescent="0.2">
      <c r="G967" s="23">
        <v>3.7265583298221463</v>
      </c>
      <c r="H967" s="24">
        <v>0.62434551223652601</v>
      </c>
      <c r="I967" s="25">
        <v>0.14070503245589472</v>
      </c>
    </row>
    <row r="968" spans="7:9" x14ac:dyDescent="0.2">
      <c r="G968" s="23">
        <v>1.9479856567964229</v>
      </c>
      <c r="H968" s="24">
        <v>0.23280313935210944</v>
      </c>
      <c r="I968" s="25">
        <v>6.8174597384046409E-2</v>
      </c>
    </row>
    <row r="969" spans="7:9" x14ac:dyDescent="0.2">
      <c r="G969" s="23">
        <v>2.1290354969979965</v>
      </c>
      <c r="H969" s="24">
        <v>0.3772326724813706</v>
      </c>
      <c r="I969" s="25">
        <v>0.13021514736704051</v>
      </c>
    </row>
    <row r="970" spans="7:9" x14ac:dyDescent="0.2">
      <c r="G970" s="23">
        <v>1.9221018542826958</v>
      </c>
      <c r="H970" s="24">
        <v>0.25127526749317586</v>
      </c>
      <c r="I970" s="25">
        <v>7.8703043580130028E-2</v>
      </c>
    </row>
    <row r="971" spans="7:9" x14ac:dyDescent="0.2">
      <c r="G971" s="23">
        <v>2.1656963766693247</v>
      </c>
      <c r="H971" s="24">
        <v>0.38601698833236814</v>
      </c>
      <c r="I971" s="25">
        <v>0.13206698312998255</v>
      </c>
    </row>
    <row r="972" spans="7:9" x14ac:dyDescent="0.2">
      <c r="G972" s="23">
        <v>3.1397242854331693</v>
      </c>
      <c r="H972" s="24">
        <v>0.54692649252645276</v>
      </c>
      <c r="I972" s="25">
        <v>0.14234577638229684</v>
      </c>
    </row>
    <row r="973" spans="7:9" x14ac:dyDescent="0.2">
      <c r="G973" s="23">
        <v>2.6739157116659502</v>
      </c>
      <c r="H973" s="24">
        <v>0.47904746448293611</v>
      </c>
      <c r="I973" s="25">
        <v>0.1417574463320159</v>
      </c>
    </row>
    <row r="974" spans="7:9" x14ac:dyDescent="0.2">
      <c r="G974" s="23">
        <v>2.9558474088719278</v>
      </c>
      <c r="H974" s="24">
        <v>0.52110832647334859</v>
      </c>
      <c r="I974" s="25">
        <v>0.14246619217192427</v>
      </c>
    </row>
    <row r="975" spans="7:9" x14ac:dyDescent="0.2">
      <c r="G975" s="23">
        <v>2.6418179684251122</v>
      </c>
      <c r="H975" s="24">
        <v>0.47399889196811917</v>
      </c>
      <c r="I975" s="25">
        <v>0.14156875869118188</v>
      </c>
    </row>
    <row r="976" spans="7:9" x14ac:dyDescent="0.2">
      <c r="G976" s="23">
        <v>1.9107601816819559</v>
      </c>
      <c r="H976" s="24">
        <v>0.27868072324450588</v>
      </c>
      <c r="I976" s="25">
        <v>9.3512897886068147E-2</v>
      </c>
    </row>
    <row r="977" spans="7:9" x14ac:dyDescent="0.2">
      <c r="G977" s="23">
        <v>2.3099628342063512</v>
      </c>
      <c r="H977" s="24">
        <v>0.4164668473984231</v>
      </c>
      <c r="I977" s="25">
        <v>0.13700083881091427</v>
      </c>
    </row>
    <row r="978" spans="7:9" x14ac:dyDescent="0.2">
      <c r="G978" s="23">
        <v>2.1908238423154236</v>
      </c>
      <c r="H978" s="24">
        <v>0.15718610521816331</v>
      </c>
      <c r="I978" s="25">
        <v>2.6102556774993246E-2</v>
      </c>
    </row>
    <row r="979" spans="7:9" x14ac:dyDescent="0.2">
      <c r="G979" s="23">
        <v>3.3722249924132499</v>
      </c>
      <c r="H979" s="24">
        <v>0.57833877739054229</v>
      </c>
      <c r="I979" s="25">
        <v>0.1418466374505204</v>
      </c>
    </row>
    <row r="980" spans="7:9" x14ac:dyDescent="0.2">
      <c r="G980" s="23">
        <v>3.2912111623138078</v>
      </c>
      <c r="H980" s="24">
        <v>0.56752516643639994</v>
      </c>
      <c r="I980" s="25">
        <v>0.14205261889595724</v>
      </c>
    </row>
    <row r="981" spans="7:9" x14ac:dyDescent="0.2">
      <c r="G981" s="23">
        <v>1.9283049242655614</v>
      </c>
      <c r="H981" s="24">
        <v>0.30315332924782118</v>
      </c>
      <c r="I981" s="25">
        <v>0.10535332104443004</v>
      </c>
    </row>
    <row r="982" spans="7:9" x14ac:dyDescent="0.2">
      <c r="G982" s="23">
        <v>2.0215878560436851</v>
      </c>
      <c r="H982" s="24">
        <v>0.20214929825590841</v>
      </c>
      <c r="I982" s="25">
        <v>5.0529239409709291E-2</v>
      </c>
    </row>
    <row r="983" spans="7:9" x14ac:dyDescent="0.2">
      <c r="G983" s="23">
        <v>2.3217274111725525</v>
      </c>
      <c r="H983" s="24">
        <v>0.41874278192715653</v>
      </c>
      <c r="I983" s="25">
        <v>0.13728690926557321</v>
      </c>
    </row>
    <row r="984" spans="7:9" x14ac:dyDescent="0.2">
      <c r="G984" s="23">
        <v>4.9879928047773463</v>
      </c>
      <c r="H984" s="24">
        <v>0.77831359070734052</v>
      </c>
      <c r="I984" s="25">
        <v>0.13598928782887507</v>
      </c>
    </row>
    <row r="985" spans="7:9" x14ac:dyDescent="0.2">
      <c r="G985" s="23">
        <v>2.7078262766408581</v>
      </c>
      <c r="H985" s="24">
        <v>0.48431301401183113</v>
      </c>
      <c r="I985" s="25">
        <v>0.14192676089932443</v>
      </c>
    </row>
    <row r="986" spans="7:9" x14ac:dyDescent="0.2">
      <c r="G986" s="23">
        <v>2.1013161000401981</v>
      </c>
      <c r="H986" s="24">
        <v>0.37016796934670615</v>
      </c>
      <c r="I986" s="25">
        <v>0.12857083608288242</v>
      </c>
    </row>
    <row r="987" spans="7:9" x14ac:dyDescent="0.2">
      <c r="G987" s="23">
        <v>2.603406052483463</v>
      </c>
      <c r="H987" s="24">
        <v>0.46786770380251474</v>
      </c>
      <c r="I987" s="25">
        <v>0.14130246872610563</v>
      </c>
    </row>
    <row r="988" spans="7:9" x14ac:dyDescent="0.2">
      <c r="G988" s="23">
        <v>3.4938412002198542</v>
      </c>
      <c r="H988" s="24">
        <v>0.59434633746494814</v>
      </c>
      <c r="I988" s="25">
        <v>0.14149078554106143</v>
      </c>
    </row>
    <row r="989" spans="7:9" x14ac:dyDescent="0.2">
      <c r="G989" s="23">
        <v>2.3786740645168165</v>
      </c>
      <c r="H989" s="24">
        <v>0.42943831018703971</v>
      </c>
      <c r="I989" s="25">
        <v>0.13849661608171729</v>
      </c>
    </row>
    <row r="990" spans="7:9" x14ac:dyDescent="0.2">
      <c r="G990" s="23">
        <v>2.5625667401738577</v>
      </c>
      <c r="H990" s="24">
        <v>0.46123195482989826</v>
      </c>
      <c r="I990" s="25">
        <v>0.14096489573390558</v>
      </c>
    </row>
    <row r="991" spans="7:9" x14ac:dyDescent="0.2">
      <c r="G991" s="23">
        <v>1.9937265562551165</v>
      </c>
      <c r="H991" s="24">
        <v>0.33684247513038534</v>
      </c>
      <c r="I991" s="25">
        <v>0.11879386011948317</v>
      </c>
    </row>
    <row r="992" spans="7:9" x14ac:dyDescent="0.2">
      <c r="G992" s="23">
        <v>3.4137278085446687</v>
      </c>
      <c r="H992" s="24">
        <v>0.58383036944833855</v>
      </c>
      <c r="I992" s="25">
        <v>0.14173079843893227</v>
      </c>
    </row>
    <row r="993" spans="7:9" x14ac:dyDescent="0.2">
      <c r="G993" s="23">
        <v>5.3884444235396751</v>
      </c>
      <c r="H993" s="24">
        <v>0.8254187971483663</v>
      </c>
      <c r="I993" s="25">
        <v>0.13462490073929756</v>
      </c>
    </row>
    <row r="994" spans="7:9" x14ac:dyDescent="0.2">
      <c r="G994" s="23">
        <v>3.1281613809246571</v>
      </c>
      <c r="H994" s="24">
        <v>0.5453314763997833</v>
      </c>
      <c r="I994" s="25">
        <v>0.14236205255434459</v>
      </c>
    </row>
    <row r="995" spans="7:9" x14ac:dyDescent="0.2">
      <c r="G995" s="23">
        <v>2.5972280817062208</v>
      </c>
      <c r="H995" s="24">
        <v>0.46687191766849845</v>
      </c>
      <c r="I995" s="25">
        <v>0.14125517845832386</v>
      </c>
    </row>
    <row r="996" spans="7:9" x14ac:dyDescent="0.2">
      <c r="G996" s="23">
        <v>2.338309646243931</v>
      </c>
      <c r="H996" s="24">
        <v>0.42191013491245605</v>
      </c>
      <c r="I996" s="25">
        <v>0.13766788070152727</v>
      </c>
    </row>
    <row r="997" spans="7:9" x14ac:dyDescent="0.2">
      <c r="G997" s="23">
        <v>2.2830732208805431</v>
      </c>
      <c r="H997" s="24">
        <v>0.41116809212930799</v>
      </c>
      <c r="I997" s="25">
        <v>0.13629352216709875</v>
      </c>
    </row>
    <row r="998" spans="7:9" x14ac:dyDescent="0.2">
      <c r="G998" s="23">
        <v>2.5562474666906581</v>
      </c>
      <c r="H998" s="24">
        <v>0.46019358478364675</v>
      </c>
      <c r="I998" s="25">
        <v>0.14090716489191893</v>
      </c>
    </row>
    <row r="999" spans="7:9" x14ac:dyDescent="0.2">
      <c r="G999" s="23">
        <v>4.9556198763310579</v>
      </c>
      <c r="H999" s="24">
        <v>0.77447922634681121</v>
      </c>
      <c r="I999" s="25">
        <v>0.13610390661279945</v>
      </c>
    </row>
    <row r="1000" spans="7:9" x14ac:dyDescent="0.2">
      <c r="G1000" s="23">
        <v>3.0901085367384269</v>
      </c>
      <c r="H1000" s="24">
        <v>0.54005724168890312</v>
      </c>
      <c r="I1000" s="25">
        <v>0.14240834422704848</v>
      </c>
    </row>
    <row r="1001" spans="7:9" x14ac:dyDescent="0.2">
      <c r="G1001" s="23">
        <v>1.9364189344378446</v>
      </c>
      <c r="H1001" s="24">
        <v>0.30907645347235924</v>
      </c>
      <c r="I1001" s="25">
        <v>0.10797067115176676</v>
      </c>
    </row>
    <row r="1002" spans="7:9" x14ac:dyDescent="0.2">
      <c r="G1002" s="23">
        <v>2.8011735665976749</v>
      </c>
      <c r="H1002" s="24">
        <v>0.4984857561284684</v>
      </c>
      <c r="I1002" s="25">
        <v>0.14225671675259877</v>
      </c>
    </row>
    <row r="1003" spans="7:9" x14ac:dyDescent="0.2">
      <c r="G1003" s="23">
        <v>4.6712568784754005</v>
      </c>
      <c r="H1003" s="24">
        <v>0.74059820113534403</v>
      </c>
      <c r="I1003" s="25">
        <v>0.13713615335457757</v>
      </c>
    </row>
    <row r="1004" spans="7:9" x14ac:dyDescent="0.2">
      <c r="G1004" s="23">
        <v>3.0485035821573008</v>
      </c>
      <c r="H1004" s="24">
        <v>0.53424441248954679</v>
      </c>
      <c r="I1004" s="25">
        <v>0.14244510439188454</v>
      </c>
    </row>
    <row r="1005" spans="7:9" x14ac:dyDescent="0.2">
      <c r="G1005" s="23"/>
      <c r="H1005" s="24"/>
      <c r="I1005" s="25"/>
    </row>
    <row r="1006" spans="7:9" x14ac:dyDescent="0.2">
      <c r="G1006" s="23"/>
      <c r="H1006" s="24"/>
      <c r="I1006" s="25"/>
    </row>
    <row r="1007" spans="7:9" x14ac:dyDescent="0.2">
      <c r="G1007" s="23"/>
      <c r="H1007" s="24"/>
      <c r="I1007" s="25"/>
    </row>
    <row r="1008" spans="7:9" x14ac:dyDescent="0.2">
      <c r="G1008" s="23"/>
      <c r="H1008" s="24"/>
      <c r="I1008" s="25"/>
    </row>
    <row r="1009" spans="7:9" x14ac:dyDescent="0.2">
      <c r="G1009" s="23"/>
      <c r="H1009" s="24"/>
      <c r="I1009" s="25"/>
    </row>
    <row r="1010" spans="7:9" x14ac:dyDescent="0.2">
      <c r="G1010" s="23"/>
      <c r="H1010" s="24"/>
      <c r="I1010" s="25"/>
    </row>
    <row r="1011" spans="7:9" x14ac:dyDescent="0.2">
      <c r="G1011" s="23"/>
      <c r="H1011" s="24"/>
      <c r="I1011" s="25"/>
    </row>
    <row r="1012" spans="7:9" x14ac:dyDescent="0.2">
      <c r="G1012" s="23"/>
      <c r="H1012" s="24"/>
      <c r="I1012" s="25"/>
    </row>
    <row r="1013" spans="7:9" x14ac:dyDescent="0.2">
      <c r="G1013" s="23"/>
      <c r="H1013" s="24"/>
      <c r="I1013" s="25"/>
    </row>
    <row r="1014" spans="7:9" x14ac:dyDescent="0.2">
      <c r="G1014" s="23"/>
      <c r="H1014" s="24"/>
      <c r="I1014" s="25"/>
    </row>
    <row r="1015" spans="7:9" x14ac:dyDescent="0.2">
      <c r="G1015" s="23"/>
      <c r="H1015" s="24"/>
      <c r="I1015" s="25"/>
    </row>
    <row r="1016" spans="7:9" x14ac:dyDescent="0.2">
      <c r="G1016" s="23"/>
      <c r="H1016" s="24"/>
      <c r="I1016" s="25"/>
    </row>
    <row r="1017" spans="7:9" x14ac:dyDescent="0.2">
      <c r="G1017" s="23"/>
      <c r="H1017" s="24"/>
      <c r="I1017" s="25"/>
    </row>
    <row r="1018" spans="7:9" x14ac:dyDescent="0.2">
      <c r="G1018" s="23"/>
      <c r="H1018" s="24"/>
      <c r="I1018" s="25"/>
    </row>
    <row r="1019" spans="7:9" x14ac:dyDescent="0.2">
      <c r="G1019" s="23"/>
      <c r="H1019" s="24"/>
      <c r="I1019" s="25"/>
    </row>
    <row r="1020" spans="7:9" x14ac:dyDescent="0.2">
      <c r="G1020" s="23"/>
      <c r="H1020" s="24"/>
      <c r="I1020" s="25"/>
    </row>
    <row r="1021" spans="7:9" x14ac:dyDescent="0.2">
      <c r="G1021" s="23"/>
      <c r="H1021" s="24"/>
      <c r="I1021" s="25"/>
    </row>
    <row r="1022" spans="7:9" x14ac:dyDescent="0.2">
      <c r="G1022" s="23"/>
      <c r="H1022" s="24"/>
      <c r="I1022" s="25"/>
    </row>
    <row r="1023" spans="7:9" x14ac:dyDescent="0.2">
      <c r="G1023" s="23"/>
      <c r="H1023" s="24"/>
      <c r="I1023" s="25"/>
    </row>
    <row r="1024" spans="7:9" x14ac:dyDescent="0.2">
      <c r="G1024" s="23"/>
      <c r="H1024" s="24"/>
      <c r="I1024" s="25"/>
    </row>
    <row r="1025" spans="7:9" x14ac:dyDescent="0.2">
      <c r="G1025" s="23"/>
      <c r="H1025" s="24"/>
      <c r="I1025" s="25"/>
    </row>
    <row r="1026" spans="7:9" x14ac:dyDescent="0.2">
      <c r="G1026" s="23"/>
      <c r="H1026" s="24"/>
      <c r="I1026" s="25"/>
    </row>
    <row r="1027" spans="7:9" x14ac:dyDescent="0.2">
      <c r="G1027" s="23"/>
      <c r="H1027" s="24"/>
      <c r="I1027" s="25"/>
    </row>
    <row r="1028" spans="7:9" x14ac:dyDescent="0.2">
      <c r="G1028" s="23"/>
      <c r="H1028" s="24"/>
      <c r="I1028" s="25"/>
    </row>
    <row r="1029" spans="7:9" x14ac:dyDescent="0.2">
      <c r="G1029" s="23"/>
      <c r="H1029" s="24"/>
      <c r="I1029" s="25"/>
    </row>
    <row r="1030" spans="7:9" x14ac:dyDescent="0.2">
      <c r="G1030" s="23"/>
      <c r="H1030" s="24"/>
      <c r="I1030" s="25"/>
    </row>
    <row r="1031" spans="7:9" x14ac:dyDescent="0.2">
      <c r="G1031" s="23"/>
      <c r="H1031" s="24"/>
      <c r="I1031" s="25"/>
    </row>
    <row r="1032" spans="7:9" x14ac:dyDescent="0.2">
      <c r="G1032" s="23"/>
      <c r="H1032" s="24"/>
      <c r="I1032" s="25"/>
    </row>
    <row r="1033" spans="7:9" x14ac:dyDescent="0.2">
      <c r="G1033" s="23"/>
      <c r="H1033" s="24"/>
      <c r="I1033" s="25"/>
    </row>
    <row r="1034" spans="7:9" x14ac:dyDescent="0.2">
      <c r="G1034" s="23"/>
      <c r="H1034" s="24"/>
      <c r="I1034" s="25"/>
    </row>
    <row r="1035" spans="7:9" x14ac:dyDescent="0.2">
      <c r="G1035" s="23"/>
      <c r="H1035" s="24"/>
      <c r="I1035" s="25"/>
    </row>
    <row r="1036" spans="7:9" x14ac:dyDescent="0.2">
      <c r="G1036" s="23"/>
      <c r="H1036" s="24"/>
      <c r="I1036" s="25"/>
    </row>
    <row r="1037" spans="7:9" x14ac:dyDescent="0.2">
      <c r="G1037" s="23"/>
      <c r="H1037" s="24"/>
      <c r="I1037" s="25"/>
    </row>
    <row r="1038" spans="7:9" x14ac:dyDescent="0.2">
      <c r="G1038" s="23"/>
      <c r="H1038" s="24"/>
      <c r="I1038" s="25"/>
    </row>
    <row r="1039" spans="7:9" x14ac:dyDescent="0.2">
      <c r="G1039" s="23"/>
      <c r="H1039" s="24"/>
      <c r="I1039" s="25"/>
    </row>
    <row r="1040" spans="7:9" x14ac:dyDescent="0.2">
      <c r="G1040" s="23"/>
      <c r="H1040" s="24"/>
      <c r="I1040" s="25"/>
    </row>
    <row r="1041" spans="7:9" x14ac:dyDescent="0.2">
      <c r="G1041" s="23"/>
      <c r="H1041" s="24"/>
      <c r="I1041" s="25"/>
    </row>
    <row r="1042" spans="7:9" x14ac:dyDescent="0.2">
      <c r="G1042" s="23"/>
      <c r="H1042" s="24"/>
      <c r="I1042" s="25"/>
    </row>
    <row r="1043" spans="7:9" x14ac:dyDescent="0.2">
      <c r="G1043" s="23"/>
      <c r="H1043" s="24"/>
      <c r="I1043" s="25"/>
    </row>
    <row r="1044" spans="7:9" x14ac:dyDescent="0.2">
      <c r="G1044" s="23"/>
      <c r="H1044" s="24"/>
      <c r="I1044" s="25"/>
    </row>
    <row r="1045" spans="7:9" x14ac:dyDescent="0.2">
      <c r="G1045" s="23"/>
      <c r="H1045" s="24"/>
      <c r="I1045" s="25"/>
    </row>
    <row r="1046" spans="7:9" x14ac:dyDescent="0.2">
      <c r="G1046" s="23"/>
      <c r="H1046" s="24"/>
      <c r="I1046" s="25"/>
    </row>
    <row r="1047" spans="7:9" x14ac:dyDescent="0.2">
      <c r="G1047" s="23"/>
      <c r="H1047" s="24"/>
      <c r="I1047" s="25"/>
    </row>
    <row r="1048" spans="7:9" x14ac:dyDescent="0.2">
      <c r="G1048" s="23"/>
      <c r="H1048" s="24"/>
      <c r="I1048" s="25"/>
    </row>
    <row r="1049" spans="7:9" x14ac:dyDescent="0.2">
      <c r="G1049" s="23"/>
      <c r="H1049" s="24"/>
      <c r="I1049" s="25"/>
    </row>
    <row r="1050" spans="7:9" x14ac:dyDescent="0.2">
      <c r="G1050" s="23"/>
      <c r="H1050" s="24"/>
      <c r="I1050" s="25"/>
    </row>
    <row r="1051" spans="7:9" x14ac:dyDescent="0.2">
      <c r="G1051" s="23"/>
      <c r="H1051" s="24"/>
      <c r="I1051" s="25"/>
    </row>
    <row r="1052" spans="7:9" x14ac:dyDescent="0.2">
      <c r="G1052" s="23"/>
      <c r="H1052" s="24"/>
      <c r="I1052" s="25"/>
    </row>
    <row r="1053" spans="7:9" x14ac:dyDescent="0.2">
      <c r="G1053" s="23"/>
      <c r="H1053" s="24"/>
      <c r="I1053" s="25"/>
    </row>
    <row r="1054" spans="7:9" x14ac:dyDescent="0.2">
      <c r="G1054" s="23"/>
      <c r="H1054" s="24"/>
      <c r="I1054" s="25"/>
    </row>
    <row r="1055" spans="7:9" x14ac:dyDescent="0.2">
      <c r="G1055" s="23"/>
      <c r="H1055" s="24"/>
      <c r="I1055" s="25"/>
    </row>
    <row r="1056" spans="7:9" x14ac:dyDescent="0.2">
      <c r="G1056" s="23"/>
      <c r="H1056" s="24"/>
      <c r="I1056" s="25"/>
    </row>
    <row r="1057" spans="7:9" x14ac:dyDescent="0.2">
      <c r="G1057" s="23"/>
      <c r="H1057" s="24"/>
      <c r="I1057" s="25"/>
    </row>
    <row r="1058" spans="7:9" x14ac:dyDescent="0.2">
      <c r="G1058" s="23"/>
      <c r="H1058" s="24"/>
      <c r="I1058" s="25"/>
    </row>
    <row r="1059" spans="7:9" x14ac:dyDescent="0.2">
      <c r="G1059" s="23"/>
      <c r="H1059" s="24"/>
      <c r="I1059" s="25"/>
    </row>
    <row r="1060" spans="7:9" x14ac:dyDescent="0.2">
      <c r="G1060" s="23"/>
      <c r="H1060" s="24"/>
      <c r="I1060" s="25"/>
    </row>
    <row r="1061" spans="7:9" x14ac:dyDescent="0.2">
      <c r="G1061" s="23"/>
      <c r="H1061" s="24"/>
      <c r="I1061" s="25"/>
    </row>
    <row r="1062" spans="7:9" x14ac:dyDescent="0.2">
      <c r="G1062" s="23"/>
      <c r="H1062" s="24"/>
      <c r="I1062" s="25"/>
    </row>
    <row r="1063" spans="7:9" x14ac:dyDescent="0.2">
      <c r="G1063" s="23"/>
      <c r="H1063" s="24"/>
      <c r="I1063" s="25"/>
    </row>
    <row r="1064" spans="7:9" x14ac:dyDescent="0.2">
      <c r="G1064" s="23"/>
      <c r="H1064" s="24"/>
      <c r="I1064" s="25"/>
    </row>
    <row r="1065" spans="7:9" x14ac:dyDescent="0.2">
      <c r="G1065" s="23"/>
      <c r="H1065" s="24"/>
      <c r="I1065" s="25"/>
    </row>
    <row r="1066" spans="7:9" x14ac:dyDescent="0.2">
      <c r="G1066" s="23"/>
      <c r="H1066" s="24"/>
      <c r="I1066" s="25"/>
    </row>
    <row r="1067" spans="7:9" x14ac:dyDescent="0.2">
      <c r="G1067" s="23"/>
      <c r="H1067" s="24"/>
      <c r="I1067" s="25"/>
    </row>
    <row r="1068" spans="7:9" x14ac:dyDescent="0.2">
      <c r="G1068" s="23"/>
      <c r="H1068" s="24"/>
      <c r="I1068" s="25"/>
    </row>
    <row r="1069" spans="7:9" x14ac:dyDescent="0.2">
      <c r="G1069" s="23"/>
      <c r="H1069" s="24"/>
      <c r="I1069" s="25"/>
    </row>
    <row r="1070" spans="7:9" x14ac:dyDescent="0.2">
      <c r="G1070" s="23"/>
      <c r="H1070" s="24"/>
      <c r="I1070" s="25"/>
    </row>
    <row r="1071" spans="7:9" x14ac:dyDescent="0.2">
      <c r="G1071" s="23"/>
      <c r="H1071" s="24"/>
      <c r="I1071" s="25"/>
    </row>
    <row r="1072" spans="7:9" x14ac:dyDescent="0.2">
      <c r="G1072" s="23"/>
      <c r="H1072" s="24"/>
      <c r="I1072" s="25"/>
    </row>
    <row r="1073" spans="7:9" x14ac:dyDescent="0.2">
      <c r="G1073" s="23"/>
      <c r="H1073" s="24"/>
      <c r="I1073" s="25"/>
    </row>
    <row r="1074" spans="7:9" x14ac:dyDescent="0.2">
      <c r="G1074" s="23"/>
      <c r="H1074" s="24"/>
      <c r="I1074" s="25"/>
    </row>
    <row r="1075" spans="7:9" x14ac:dyDescent="0.2">
      <c r="G1075" s="23"/>
      <c r="H1075" s="24"/>
      <c r="I1075" s="25"/>
    </row>
    <row r="1076" spans="7:9" x14ac:dyDescent="0.2">
      <c r="G1076" s="23"/>
      <c r="H1076" s="24"/>
      <c r="I1076" s="25"/>
    </row>
    <row r="1077" spans="7:9" x14ac:dyDescent="0.2">
      <c r="G1077" s="23"/>
      <c r="H1077" s="24"/>
      <c r="I1077" s="25"/>
    </row>
    <row r="1078" spans="7:9" x14ac:dyDescent="0.2">
      <c r="G1078" s="23"/>
      <c r="H1078" s="24"/>
      <c r="I1078" s="25"/>
    </row>
    <row r="1079" spans="7:9" x14ac:dyDescent="0.2">
      <c r="G1079" s="23"/>
      <c r="H1079" s="24"/>
      <c r="I1079" s="25"/>
    </row>
    <row r="1080" spans="7:9" x14ac:dyDescent="0.2">
      <c r="G1080" s="23"/>
      <c r="H1080" s="24"/>
      <c r="I1080" s="25"/>
    </row>
    <row r="1081" spans="7:9" x14ac:dyDescent="0.2">
      <c r="G1081" s="23"/>
      <c r="H1081" s="24"/>
      <c r="I1081" s="25"/>
    </row>
    <row r="1082" spans="7:9" x14ac:dyDescent="0.2">
      <c r="G1082" s="23"/>
      <c r="H1082" s="24"/>
      <c r="I1082" s="25"/>
    </row>
    <row r="1083" spans="7:9" x14ac:dyDescent="0.2">
      <c r="G1083" s="23"/>
      <c r="H1083" s="24"/>
      <c r="I1083" s="25"/>
    </row>
    <row r="1084" spans="7:9" x14ac:dyDescent="0.2">
      <c r="G1084" s="23"/>
      <c r="H1084" s="24"/>
      <c r="I1084" s="25"/>
    </row>
    <row r="1085" spans="7:9" x14ac:dyDescent="0.2">
      <c r="G1085" s="23"/>
      <c r="H1085" s="24"/>
      <c r="I1085" s="25"/>
    </row>
    <row r="1086" spans="7:9" x14ac:dyDescent="0.2">
      <c r="G1086" s="23"/>
      <c r="H1086" s="24"/>
      <c r="I1086" s="25"/>
    </row>
    <row r="1087" spans="7:9" x14ac:dyDescent="0.2">
      <c r="G1087" s="23"/>
      <c r="H1087" s="24"/>
      <c r="I1087" s="25"/>
    </row>
    <row r="1088" spans="7:9" x14ac:dyDescent="0.2">
      <c r="G1088" s="23"/>
      <c r="H1088" s="24"/>
      <c r="I1088" s="25"/>
    </row>
    <row r="1089" spans="7:9" x14ac:dyDescent="0.2">
      <c r="G1089" s="23"/>
      <c r="H1089" s="24"/>
      <c r="I1089" s="25"/>
    </row>
    <row r="1090" spans="7:9" x14ac:dyDescent="0.2">
      <c r="G1090" s="23"/>
      <c r="H1090" s="24"/>
      <c r="I1090" s="25"/>
    </row>
    <row r="1091" spans="7:9" x14ac:dyDescent="0.2">
      <c r="G1091" s="23"/>
      <c r="H1091" s="24"/>
      <c r="I1091" s="25"/>
    </row>
    <row r="1092" spans="7:9" x14ac:dyDescent="0.2">
      <c r="G1092" s="23"/>
      <c r="H1092" s="24"/>
      <c r="I1092" s="25"/>
    </row>
    <row r="1093" spans="7:9" x14ac:dyDescent="0.2">
      <c r="G1093" s="23"/>
      <c r="H1093" s="24"/>
      <c r="I1093" s="25"/>
    </row>
    <row r="1094" spans="7:9" x14ac:dyDescent="0.2">
      <c r="G1094" s="23"/>
      <c r="H1094" s="24"/>
      <c r="I1094" s="25"/>
    </row>
    <row r="1095" spans="7:9" x14ac:dyDescent="0.2">
      <c r="G1095" s="23"/>
      <c r="H1095" s="24"/>
      <c r="I1095" s="25"/>
    </row>
    <row r="1096" spans="7:9" x14ac:dyDescent="0.2">
      <c r="G1096" s="23"/>
      <c r="H1096" s="24"/>
      <c r="I1096" s="25"/>
    </row>
    <row r="1097" spans="7:9" x14ac:dyDescent="0.2">
      <c r="G1097" s="23"/>
      <c r="H1097" s="24"/>
      <c r="I1097" s="25"/>
    </row>
    <row r="1098" spans="7:9" x14ac:dyDescent="0.2">
      <c r="G1098" s="23"/>
      <c r="H1098" s="24"/>
      <c r="I1098" s="25"/>
    </row>
    <row r="1099" spans="7:9" x14ac:dyDescent="0.2">
      <c r="G1099" s="23"/>
      <c r="H1099" s="24"/>
      <c r="I1099" s="25"/>
    </row>
    <row r="1100" spans="7:9" x14ac:dyDescent="0.2">
      <c r="G1100" s="23"/>
      <c r="H1100" s="24"/>
      <c r="I1100" s="25"/>
    </row>
    <row r="1101" spans="7:9" x14ac:dyDescent="0.2">
      <c r="G1101" s="23"/>
      <c r="H1101" s="24"/>
      <c r="I1101" s="25"/>
    </row>
    <row r="1102" spans="7:9" x14ac:dyDescent="0.2">
      <c r="G1102" s="23"/>
      <c r="H1102" s="24"/>
      <c r="I1102" s="25"/>
    </row>
    <row r="1103" spans="7:9" x14ac:dyDescent="0.2">
      <c r="G1103" s="23"/>
      <c r="H1103" s="24"/>
      <c r="I1103" s="25"/>
    </row>
    <row r="1104" spans="7:9" x14ac:dyDescent="0.2">
      <c r="G1104" s="23"/>
      <c r="H1104" s="24"/>
      <c r="I1104" s="25"/>
    </row>
    <row r="1105" spans="7:9" x14ac:dyDescent="0.2">
      <c r="G1105" s="23"/>
      <c r="H1105" s="24"/>
      <c r="I1105" s="25"/>
    </row>
    <row r="1106" spans="7:9" x14ac:dyDescent="0.2">
      <c r="G1106" s="23"/>
      <c r="H1106" s="24"/>
      <c r="I1106" s="25"/>
    </row>
    <row r="1107" spans="7:9" x14ac:dyDescent="0.2">
      <c r="G1107" s="23"/>
      <c r="H1107" s="24"/>
      <c r="I1107" s="25"/>
    </row>
    <row r="1108" spans="7:9" x14ac:dyDescent="0.2">
      <c r="G1108" s="23"/>
      <c r="H1108" s="24"/>
      <c r="I1108" s="25"/>
    </row>
    <row r="1109" spans="7:9" x14ac:dyDescent="0.2">
      <c r="G1109" s="23"/>
      <c r="H1109" s="24"/>
      <c r="I1109" s="25"/>
    </row>
    <row r="1110" spans="7:9" x14ac:dyDescent="0.2">
      <c r="G1110" s="23"/>
      <c r="H1110" s="24"/>
      <c r="I1110" s="25"/>
    </row>
    <row r="1111" spans="7:9" x14ac:dyDescent="0.2">
      <c r="G1111" s="23"/>
      <c r="H1111" s="24"/>
      <c r="I1111" s="25"/>
    </row>
    <row r="1112" spans="7:9" x14ac:dyDescent="0.2">
      <c r="G1112" s="23"/>
      <c r="H1112" s="24"/>
      <c r="I1112" s="25"/>
    </row>
    <row r="1113" spans="7:9" x14ac:dyDescent="0.2">
      <c r="G1113" s="23"/>
      <c r="H1113" s="24"/>
      <c r="I1113" s="25"/>
    </row>
    <row r="1114" spans="7:9" x14ac:dyDescent="0.2">
      <c r="G1114" s="23"/>
      <c r="H1114" s="24"/>
      <c r="I1114" s="25"/>
    </row>
    <row r="1115" spans="7:9" x14ac:dyDescent="0.2">
      <c r="G1115" s="23"/>
      <c r="H1115" s="24"/>
      <c r="I1115" s="25"/>
    </row>
    <row r="1116" spans="7:9" x14ac:dyDescent="0.2">
      <c r="G1116" s="23"/>
      <c r="H1116" s="24"/>
      <c r="I1116" s="25"/>
    </row>
    <row r="1117" spans="7:9" x14ac:dyDescent="0.2">
      <c r="G1117" s="23"/>
      <c r="H1117" s="24"/>
      <c r="I1117" s="25"/>
    </row>
    <row r="1118" spans="7:9" x14ac:dyDescent="0.2">
      <c r="G1118" s="23"/>
      <c r="H1118" s="24"/>
      <c r="I1118" s="25"/>
    </row>
    <row r="1119" spans="7:9" x14ac:dyDescent="0.2">
      <c r="G1119" s="23"/>
      <c r="H1119" s="24"/>
      <c r="I1119" s="25"/>
    </row>
    <row r="1120" spans="7:9" x14ac:dyDescent="0.2">
      <c r="G1120" s="23"/>
      <c r="H1120" s="24"/>
      <c r="I1120" s="25"/>
    </row>
    <row r="1121" spans="7:9" x14ac:dyDescent="0.2">
      <c r="G1121" s="23"/>
      <c r="H1121" s="24"/>
      <c r="I1121" s="25"/>
    </row>
    <row r="1122" spans="7:9" x14ac:dyDescent="0.2">
      <c r="G1122" s="23"/>
      <c r="H1122" s="24"/>
      <c r="I1122" s="25"/>
    </row>
    <row r="1123" spans="7:9" x14ac:dyDescent="0.2">
      <c r="G1123" s="23"/>
      <c r="H1123" s="24"/>
      <c r="I1123" s="25"/>
    </row>
    <row r="1124" spans="7:9" x14ac:dyDescent="0.2">
      <c r="G1124" s="23"/>
      <c r="H1124" s="24"/>
      <c r="I1124" s="25"/>
    </row>
    <row r="1125" spans="7:9" x14ac:dyDescent="0.2">
      <c r="G1125" s="23"/>
      <c r="H1125" s="24"/>
      <c r="I1125" s="25"/>
    </row>
    <row r="1126" spans="7:9" x14ac:dyDescent="0.2">
      <c r="G1126" s="23"/>
      <c r="H1126" s="24"/>
      <c r="I1126" s="25"/>
    </row>
    <row r="1127" spans="7:9" x14ac:dyDescent="0.2">
      <c r="G1127" s="23"/>
      <c r="H1127" s="24"/>
      <c r="I1127" s="25"/>
    </row>
    <row r="1128" spans="7:9" x14ac:dyDescent="0.2">
      <c r="G1128" s="23"/>
      <c r="H1128" s="24"/>
      <c r="I1128" s="25"/>
    </row>
    <row r="1129" spans="7:9" x14ac:dyDescent="0.2">
      <c r="G1129" s="23"/>
      <c r="H1129" s="24"/>
      <c r="I1129" s="25"/>
    </row>
    <row r="1130" spans="7:9" x14ac:dyDescent="0.2">
      <c r="G1130" s="23"/>
      <c r="H1130" s="24"/>
      <c r="I1130" s="25"/>
    </row>
    <row r="1131" spans="7:9" x14ac:dyDescent="0.2">
      <c r="G1131" s="23"/>
      <c r="H1131" s="24"/>
      <c r="I1131" s="25"/>
    </row>
    <row r="1132" spans="7:9" x14ac:dyDescent="0.2">
      <c r="G1132" s="23"/>
      <c r="H1132" s="24"/>
      <c r="I1132" s="25"/>
    </row>
    <row r="1133" spans="7:9" x14ac:dyDescent="0.2">
      <c r="G1133" s="23"/>
      <c r="H1133" s="24"/>
      <c r="I1133" s="25"/>
    </row>
    <row r="1134" spans="7:9" x14ac:dyDescent="0.2">
      <c r="G1134" s="23"/>
      <c r="H1134" s="24"/>
      <c r="I1134" s="25"/>
    </row>
    <row r="1135" spans="7:9" x14ac:dyDescent="0.2">
      <c r="G1135" s="23"/>
      <c r="H1135" s="24"/>
      <c r="I1135" s="25"/>
    </row>
    <row r="1136" spans="7:9" x14ac:dyDescent="0.2">
      <c r="G1136" s="23"/>
      <c r="H1136" s="24"/>
      <c r="I1136" s="25"/>
    </row>
    <row r="1137" spans="7:9" x14ac:dyDescent="0.2">
      <c r="G1137" s="23"/>
      <c r="H1137" s="24"/>
      <c r="I1137" s="25"/>
    </row>
    <row r="1138" spans="7:9" x14ac:dyDescent="0.2">
      <c r="G1138" s="23"/>
      <c r="H1138" s="24"/>
      <c r="I1138" s="25"/>
    </row>
    <row r="1139" spans="7:9" x14ac:dyDescent="0.2">
      <c r="G1139" s="23"/>
      <c r="H1139" s="24"/>
      <c r="I1139" s="25"/>
    </row>
    <row r="1140" spans="7:9" x14ac:dyDescent="0.2">
      <c r="G1140" s="23"/>
      <c r="H1140" s="24"/>
      <c r="I1140" s="25"/>
    </row>
    <row r="1141" spans="7:9" x14ac:dyDescent="0.2">
      <c r="G1141" s="23"/>
      <c r="H1141" s="24"/>
      <c r="I1141" s="25"/>
    </row>
    <row r="1142" spans="7:9" x14ac:dyDescent="0.2">
      <c r="G1142" s="23"/>
      <c r="H1142" s="24"/>
      <c r="I1142" s="25"/>
    </row>
    <row r="1143" spans="7:9" x14ac:dyDescent="0.2">
      <c r="G1143" s="23"/>
      <c r="H1143" s="24"/>
      <c r="I1143" s="25"/>
    </row>
    <row r="1144" spans="7:9" x14ac:dyDescent="0.2">
      <c r="G1144" s="23"/>
      <c r="H1144" s="24"/>
      <c r="I1144" s="25"/>
    </row>
    <row r="1145" spans="7:9" x14ac:dyDescent="0.2">
      <c r="G1145" s="23"/>
      <c r="H1145" s="24"/>
      <c r="I1145" s="25"/>
    </row>
    <row r="1146" spans="7:9" x14ac:dyDescent="0.2">
      <c r="G1146" s="23"/>
      <c r="H1146" s="24"/>
      <c r="I1146" s="25"/>
    </row>
    <row r="1147" spans="7:9" x14ac:dyDescent="0.2">
      <c r="G1147" s="23"/>
      <c r="H1147" s="24"/>
      <c r="I1147" s="25"/>
    </row>
    <row r="1148" spans="7:9" x14ac:dyDescent="0.2">
      <c r="G1148" s="23"/>
      <c r="H1148" s="24"/>
      <c r="I1148" s="25"/>
    </row>
    <row r="1149" spans="7:9" x14ac:dyDescent="0.2">
      <c r="G1149" s="23"/>
      <c r="H1149" s="24"/>
      <c r="I1149" s="25"/>
    </row>
    <row r="1150" spans="7:9" x14ac:dyDescent="0.2">
      <c r="G1150" s="23"/>
      <c r="H1150" s="24"/>
      <c r="I1150" s="25"/>
    </row>
    <row r="1151" spans="7:9" x14ac:dyDescent="0.2">
      <c r="G1151" s="23"/>
      <c r="H1151" s="24"/>
      <c r="I1151" s="25"/>
    </row>
    <row r="1152" spans="7:9" x14ac:dyDescent="0.2">
      <c r="G1152" s="23"/>
      <c r="H1152" s="24"/>
      <c r="I1152" s="25"/>
    </row>
    <row r="1153" spans="7:9" x14ac:dyDescent="0.2">
      <c r="G1153" s="23"/>
      <c r="H1153" s="24"/>
      <c r="I1153" s="25"/>
    </row>
    <row r="1154" spans="7:9" x14ac:dyDescent="0.2">
      <c r="G1154" s="23"/>
      <c r="H1154" s="24"/>
      <c r="I1154" s="25"/>
    </row>
    <row r="1155" spans="7:9" x14ac:dyDescent="0.2">
      <c r="G1155" s="23"/>
      <c r="H1155" s="24"/>
      <c r="I1155" s="25"/>
    </row>
    <row r="1156" spans="7:9" x14ac:dyDescent="0.2">
      <c r="G1156" s="23"/>
      <c r="H1156" s="24"/>
      <c r="I1156" s="25"/>
    </row>
    <row r="1157" spans="7:9" x14ac:dyDescent="0.2">
      <c r="G1157" s="23"/>
      <c r="H1157" s="24"/>
      <c r="I1157" s="25"/>
    </row>
    <row r="1158" spans="7:9" x14ac:dyDescent="0.2">
      <c r="G1158" s="23"/>
      <c r="H1158" s="24"/>
      <c r="I1158" s="25"/>
    </row>
    <row r="1159" spans="7:9" x14ac:dyDescent="0.2">
      <c r="G1159" s="23"/>
      <c r="H1159" s="24"/>
      <c r="I1159" s="25"/>
    </row>
    <row r="1160" spans="7:9" x14ac:dyDescent="0.2">
      <c r="G1160" s="23"/>
      <c r="H1160" s="24"/>
      <c r="I1160" s="25"/>
    </row>
    <row r="1161" spans="7:9" x14ac:dyDescent="0.2">
      <c r="G1161" s="23"/>
      <c r="H1161" s="24"/>
      <c r="I1161" s="25"/>
    </row>
    <row r="1162" spans="7:9" x14ac:dyDescent="0.2">
      <c r="G1162" s="23"/>
      <c r="H1162" s="24"/>
      <c r="I1162" s="25"/>
    </row>
    <row r="1163" spans="7:9" x14ac:dyDescent="0.2">
      <c r="G1163" s="23"/>
      <c r="H1163" s="24"/>
      <c r="I1163" s="25"/>
    </row>
    <row r="1164" spans="7:9" x14ac:dyDescent="0.2">
      <c r="G1164" s="23"/>
      <c r="H1164" s="24"/>
      <c r="I1164" s="25"/>
    </row>
    <row r="1165" spans="7:9" x14ac:dyDescent="0.2">
      <c r="G1165" s="23"/>
      <c r="H1165" s="24"/>
      <c r="I1165" s="25"/>
    </row>
    <row r="1166" spans="7:9" x14ac:dyDescent="0.2">
      <c r="G1166" s="23"/>
      <c r="H1166" s="24"/>
      <c r="I1166" s="25"/>
    </row>
    <row r="1167" spans="7:9" x14ac:dyDescent="0.2">
      <c r="G1167" s="23"/>
      <c r="H1167" s="24"/>
      <c r="I1167" s="25"/>
    </row>
    <row r="1168" spans="7:9" x14ac:dyDescent="0.2">
      <c r="G1168" s="23"/>
      <c r="H1168" s="24"/>
      <c r="I1168" s="25"/>
    </row>
    <row r="1169" spans="7:9" x14ac:dyDescent="0.2">
      <c r="G1169" s="23"/>
      <c r="H1169" s="24"/>
      <c r="I1169" s="25"/>
    </row>
    <row r="1170" spans="7:9" x14ac:dyDescent="0.2">
      <c r="G1170" s="23"/>
      <c r="H1170" s="24"/>
      <c r="I1170" s="25"/>
    </row>
    <row r="1171" spans="7:9" x14ac:dyDescent="0.2">
      <c r="G1171" s="23"/>
      <c r="H1171" s="24"/>
      <c r="I1171" s="25"/>
    </row>
    <row r="1172" spans="7:9" x14ac:dyDescent="0.2">
      <c r="G1172" s="23"/>
      <c r="H1172" s="24"/>
      <c r="I1172" s="25"/>
    </row>
    <row r="1173" spans="7:9" x14ac:dyDescent="0.2">
      <c r="G1173" s="23"/>
      <c r="H1173" s="24"/>
      <c r="I1173" s="25"/>
    </row>
    <row r="1174" spans="7:9" x14ac:dyDescent="0.2">
      <c r="G1174" s="23"/>
      <c r="H1174" s="24"/>
      <c r="I1174" s="25"/>
    </row>
    <row r="1175" spans="7:9" x14ac:dyDescent="0.2">
      <c r="G1175" s="23"/>
      <c r="H1175" s="24"/>
      <c r="I1175" s="25"/>
    </row>
    <row r="1176" spans="7:9" x14ac:dyDescent="0.2">
      <c r="G1176" s="23"/>
      <c r="H1176" s="24"/>
      <c r="I1176" s="25"/>
    </row>
    <row r="1177" spans="7:9" x14ac:dyDescent="0.2">
      <c r="G1177" s="23"/>
      <c r="H1177" s="24"/>
      <c r="I1177" s="25"/>
    </row>
    <row r="1178" spans="7:9" x14ac:dyDescent="0.2">
      <c r="G1178" s="23"/>
      <c r="H1178" s="24"/>
      <c r="I1178" s="25"/>
    </row>
    <row r="1179" spans="7:9" x14ac:dyDescent="0.2">
      <c r="G1179" s="23"/>
      <c r="H1179" s="24"/>
      <c r="I1179" s="25"/>
    </row>
    <row r="1180" spans="7:9" x14ac:dyDescent="0.2">
      <c r="G1180" s="23"/>
      <c r="H1180" s="24"/>
      <c r="I1180" s="25"/>
    </row>
    <row r="1181" spans="7:9" x14ac:dyDescent="0.2">
      <c r="G1181" s="23"/>
      <c r="H1181" s="24"/>
      <c r="I1181" s="25"/>
    </row>
    <row r="1182" spans="7:9" x14ac:dyDescent="0.2">
      <c r="G1182" s="23"/>
      <c r="H1182" s="24"/>
      <c r="I1182" s="25"/>
    </row>
    <row r="1183" spans="7:9" x14ac:dyDescent="0.2">
      <c r="G1183" s="23"/>
      <c r="H1183" s="24"/>
      <c r="I1183" s="25"/>
    </row>
    <row r="1184" spans="7:9" x14ac:dyDescent="0.2">
      <c r="G1184" s="23"/>
      <c r="H1184" s="24"/>
      <c r="I1184" s="25"/>
    </row>
    <row r="1185" spans="7:9" x14ac:dyDescent="0.2">
      <c r="G1185" s="23"/>
      <c r="H1185" s="24"/>
      <c r="I1185" s="25"/>
    </row>
    <row r="1186" spans="7:9" x14ac:dyDescent="0.2">
      <c r="G1186" s="23"/>
      <c r="H1186" s="24"/>
      <c r="I1186" s="25"/>
    </row>
    <row r="1187" spans="7:9" x14ac:dyDescent="0.2">
      <c r="G1187" s="23"/>
      <c r="H1187" s="24"/>
      <c r="I1187" s="25"/>
    </row>
    <row r="1188" spans="7:9" x14ac:dyDescent="0.2">
      <c r="G1188" s="23"/>
      <c r="H1188" s="24"/>
      <c r="I1188" s="25"/>
    </row>
    <row r="1189" spans="7:9" x14ac:dyDescent="0.2">
      <c r="G1189" s="23"/>
      <c r="H1189" s="24"/>
      <c r="I1189" s="25"/>
    </row>
    <row r="1190" spans="7:9" x14ac:dyDescent="0.2">
      <c r="G1190" s="23"/>
      <c r="H1190" s="24"/>
      <c r="I1190" s="25"/>
    </row>
    <row r="1191" spans="7:9" x14ac:dyDescent="0.2">
      <c r="G1191" s="23"/>
      <c r="H1191" s="24"/>
      <c r="I1191" s="25"/>
    </row>
    <row r="1192" spans="7:9" x14ac:dyDescent="0.2">
      <c r="G1192" s="23"/>
      <c r="H1192" s="24"/>
      <c r="I1192" s="25"/>
    </row>
    <row r="1193" spans="7:9" x14ac:dyDescent="0.2">
      <c r="G1193" s="23"/>
      <c r="H1193" s="24"/>
      <c r="I1193" s="25"/>
    </row>
    <row r="1194" spans="7:9" x14ac:dyDescent="0.2">
      <c r="G1194" s="23"/>
      <c r="H1194" s="24"/>
      <c r="I1194" s="25"/>
    </row>
    <row r="1195" spans="7:9" x14ac:dyDescent="0.2">
      <c r="G1195" s="23"/>
      <c r="H1195" s="24"/>
      <c r="I1195" s="25"/>
    </row>
    <row r="1196" spans="7:9" x14ac:dyDescent="0.2">
      <c r="G1196" s="23"/>
      <c r="H1196" s="24"/>
      <c r="I1196" s="25"/>
    </row>
    <row r="1197" spans="7:9" x14ac:dyDescent="0.2">
      <c r="G1197" s="23"/>
      <c r="H1197" s="24"/>
      <c r="I1197" s="25"/>
    </row>
    <row r="1198" spans="7:9" x14ac:dyDescent="0.2">
      <c r="G1198" s="23"/>
      <c r="H1198" s="24"/>
      <c r="I1198" s="25"/>
    </row>
    <row r="1199" spans="7:9" x14ac:dyDescent="0.2">
      <c r="G1199" s="23"/>
      <c r="H1199" s="24"/>
      <c r="I1199" s="25"/>
    </row>
    <row r="1200" spans="7:9" x14ac:dyDescent="0.2">
      <c r="G1200" s="23"/>
      <c r="H1200" s="24"/>
      <c r="I1200" s="25"/>
    </row>
    <row r="1201" spans="7:9" x14ac:dyDescent="0.2">
      <c r="G1201" s="23"/>
      <c r="H1201" s="24"/>
      <c r="I1201" s="25"/>
    </row>
    <row r="1202" spans="7:9" x14ac:dyDescent="0.2">
      <c r="G1202" s="23"/>
      <c r="H1202" s="24"/>
      <c r="I1202" s="25"/>
    </row>
    <row r="1203" spans="7:9" x14ac:dyDescent="0.2">
      <c r="G1203" s="23"/>
      <c r="H1203" s="24"/>
      <c r="I1203" s="25"/>
    </row>
    <row r="1204" spans="7:9" x14ac:dyDescent="0.2">
      <c r="G1204" s="23"/>
      <c r="H1204" s="24"/>
      <c r="I1204" s="25"/>
    </row>
    <row r="1205" spans="7:9" x14ac:dyDescent="0.2">
      <c r="G1205" s="23"/>
      <c r="H1205" s="24"/>
      <c r="I1205" s="25"/>
    </row>
    <row r="1206" spans="7:9" x14ac:dyDescent="0.2">
      <c r="G1206" s="23"/>
      <c r="H1206" s="24"/>
      <c r="I1206" s="25"/>
    </row>
    <row r="1207" spans="7:9" x14ac:dyDescent="0.2">
      <c r="G1207" s="23"/>
      <c r="H1207" s="24"/>
      <c r="I1207" s="25"/>
    </row>
    <row r="1208" spans="7:9" x14ac:dyDescent="0.2">
      <c r="G1208" s="23"/>
      <c r="H1208" s="24"/>
      <c r="I1208" s="25"/>
    </row>
    <row r="1209" spans="7:9" x14ac:dyDescent="0.2">
      <c r="G1209" s="23"/>
      <c r="H1209" s="24"/>
      <c r="I1209" s="25"/>
    </row>
    <row r="1210" spans="7:9" x14ac:dyDescent="0.2">
      <c r="G1210" s="23"/>
      <c r="H1210" s="24"/>
      <c r="I1210" s="25"/>
    </row>
    <row r="1211" spans="7:9" x14ac:dyDescent="0.2">
      <c r="G1211" s="23"/>
      <c r="H1211" s="24"/>
      <c r="I1211" s="25"/>
    </row>
    <row r="1212" spans="7:9" x14ac:dyDescent="0.2">
      <c r="G1212" s="23"/>
      <c r="H1212" s="24"/>
      <c r="I1212" s="25"/>
    </row>
    <row r="1213" spans="7:9" x14ac:dyDescent="0.2">
      <c r="G1213" s="23"/>
      <c r="H1213" s="24"/>
      <c r="I1213" s="25"/>
    </row>
    <row r="1214" spans="7:9" x14ac:dyDescent="0.2">
      <c r="G1214" s="23"/>
      <c r="H1214" s="24"/>
      <c r="I1214" s="25"/>
    </row>
    <row r="1215" spans="7:9" x14ac:dyDescent="0.2">
      <c r="G1215" s="23"/>
      <c r="H1215" s="24"/>
      <c r="I1215" s="25"/>
    </row>
    <row r="1216" spans="7:9" x14ac:dyDescent="0.2">
      <c r="G1216" s="23"/>
      <c r="H1216" s="24"/>
      <c r="I1216" s="25"/>
    </row>
    <row r="1217" spans="7:9" x14ac:dyDescent="0.2">
      <c r="G1217" s="23"/>
      <c r="H1217" s="24"/>
      <c r="I1217" s="25"/>
    </row>
    <row r="1218" spans="7:9" x14ac:dyDescent="0.2">
      <c r="G1218" s="23"/>
      <c r="H1218" s="24"/>
      <c r="I1218" s="25"/>
    </row>
    <row r="1219" spans="7:9" x14ac:dyDescent="0.2">
      <c r="G1219" s="23"/>
      <c r="H1219" s="24"/>
      <c r="I1219" s="25"/>
    </row>
    <row r="1220" spans="7:9" x14ac:dyDescent="0.2">
      <c r="G1220" s="23"/>
      <c r="H1220" s="24"/>
      <c r="I1220" s="25"/>
    </row>
    <row r="1221" spans="7:9" x14ac:dyDescent="0.2">
      <c r="G1221" s="23"/>
      <c r="H1221" s="24"/>
      <c r="I1221" s="25"/>
    </row>
    <row r="1222" spans="7:9" x14ac:dyDescent="0.2">
      <c r="G1222" s="23"/>
      <c r="H1222" s="24"/>
      <c r="I1222" s="25"/>
    </row>
    <row r="1223" spans="7:9" x14ac:dyDescent="0.2">
      <c r="G1223" s="23"/>
      <c r="H1223" s="24"/>
      <c r="I1223" s="25"/>
    </row>
    <row r="1224" spans="7:9" x14ac:dyDescent="0.2">
      <c r="G1224" s="23"/>
      <c r="H1224" s="24"/>
      <c r="I1224" s="25"/>
    </row>
    <row r="1225" spans="7:9" x14ac:dyDescent="0.2">
      <c r="G1225" s="23"/>
      <c r="H1225" s="24"/>
      <c r="I1225" s="25"/>
    </row>
    <row r="1226" spans="7:9" x14ac:dyDescent="0.2">
      <c r="G1226" s="23"/>
      <c r="H1226" s="24"/>
      <c r="I1226" s="25"/>
    </row>
    <row r="1227" spans="7:9" x14ac:dyDescent="0.2">
      <c r="G1227" s="23"/>
      <c r="H1227" s="24"/>
      <c r="I1227" s="25"/>
    </row>
    <row r="1228" spans="7:9" x14ac:dyDescent="0.2">
      <c r="G1228" s="23"/>
      <c r="H1228" s="24"/>
      <c r="I1228" s="25"/>
    </row>
    <row r="1229" spans="7:9" x14ac:dyDescent="0.2">
      <c r="G1229" s="23"/>
      <c r="H1229" s="24"/>
      <c r="I1229" s="25"/>
    </row>
    <row r="1230" spans="7:9" x14ac:dyDescent="0.2">
      <c r="G1230" s="23"/>
      <c r="H1230" s="24"/>
      <c r="I1230" s="25"/>
    </row>
    <row r="1231" spans="7:9" x14ac:dyDescent="0.2">
      <c r="G1231" s="23"/>
      <c r="H1231" s="24"/>
      <c r="I1231" s="25"/>
    </row>
    <row r="1232" spans="7:9" x14ac:dyDescent="0.2">
      <c r="G1232" s="23"/>
      <c r="H1232" s="24"/>
      <c r="I1232" s="25"/>
    </row>
    <row r="1233" spans="7:9" x14ac:dyDescent="0.2">
      <c r="G1233" s="23"/>
      <c r="H1233" s="24"/>
      <c r="I1233" s="25"/>
    </row>
    <row r="1234" spans="7:9" x14ac:dyDescent="0.2">
      <c r="G1234" s="23"/>
      <c r="H1234" s="24"/>
      <c r="I1234" s="25"/>
    </row>
    <row r="1235" spans="7:9" x14ac:dyDescent="0.2">
      <c r="G1235" s="23"/>
      <c r="H1235" s="24"/>
      <c r="I1235" s="25"/>
    </row>
    <row r="1236" spans="7:9" x14ac:dyDescent="0.2">
      <c r="G1236" s="23"/>
      <c r="H1236" s="24"/>
      <c r="I1236" s="25"/>
    </row>
    <row r="1237" spans="7:9" x14ac:dyDescent="0.2">
      <c r="G1237" s="23"/>
      <c r="H1237" s="24"/>
      <c r="I1237" s="25"/>
    </row>
    <row r="1238" spans="7:9" x14ac:dyDescent="0.2">
      <c r="G1238" s="23"/>
      <c r="H1238" s="24"/>
      <c r="I1238" s="25"/>
    </row>
    <row r="1239" spans="7:9" x14ac:dyDescent="0.2">
      <c r="G1239" s="23"/>
      <c r="H1239" s="24"/>
      <c r="I1239" s="25"/>
    </row>
    <row r="1240" spans="7:9" x14ac:dyDescent="0.2">
      <c r="G1240" s="23"/>
      <c r="H1240" s="24"/>
      <c r="I1240" s="25"/>
    </row>
    <row r="1241" spans="7:9" x14ac:dyDescent="0.2">
      <c r="G1241" s="23"/>
      <c r="H1241" s="24"/>
      <c r="I1241" s="25"/>
    </row>
    <row r="1242" spans="7:9" x14ac:dyDescent="0.2">
      <c r="G1242" s="23"/>
      <c r="H1242" s="24"/>
      <c r="I1242" s="25"/>
    </row>
    <row r="1243" spans="7:9" x14ac:dyDescent="0.2">
      <c r="G1243" s="23"/>
      <c r="H1243" s="24"/>
      <c r="I1243" s="25"/>
    </row>
    <row r="1244" spans="7:9" x14ac:dyDescent="0.2">
      <c r="G1244" s="23"/>
      <c r="H1244" s="24"/>
      <c r="I1244" s="25"/>
    </row>
    <row r="1245" spans="7:9" x14ac:dyDescent="0.2">
      <c r="G1245" s="23"/>
      <c r="H1245" s="24"/>
      <c r="I1245" s="25"/>
    </row>
    <row r="1246" spans="7:9" x14ac:dyDescent="0.2">
      <c r="G1246" s="23"/>
      <c r="H1246" s="24"/>
      <c r="I1246" s="25"/>
    </row>
    <row r="1247" spans="7:9" x14ac:dyDescent="0.2">
      <c r="G1247" s="23"/>
      <c r="H1247" s="24"/>
      <c r="I1247" s="25"/>
    </row>
    <row r="1248" spans="7:9" x14ac:dyDescent="0.2">
      <c r="G1248" s="23"/>
      <c r="H1248" s="24"/>
      <c r="I1248" s="25"/>
    </row>
    <row r="1249" spans="7:9" x14ac:dyDescent="0.2">
      <c r="G1249" s="23"/>
      <c r="H1249" s="24"/>
      <c r="I1249" s="25"/>
    </row>
    <row r="1250" spans="7:9" x14ac:dyDescent="0.2">
      <c r="G1250" s="23"/>
      <c r="H1250" s="24"/>
      <c r="I1250" s="25"/>
    </row>
    <row r="1251" spans="7:9" x14ac:dyDescent="0.2">
      <c r="G1251" s="23"/>
      <c r="H1251" s="24"/>
      <c r="I1251" s="25"/>
    </row>
    <row r="1252" spans="7:9" x14ac:dyDescent="0.2">
      <c r="G1252" s="23"/>
      <c r="H1252" s="24"/>
      <c r="I1252" s="25"/>
    </row>
    <row r="1253" spans="7:9" x14ac:dyDescent="0.2">
      <c r="G1253" s="23"/>
      <c r="H1253" s="24"/>
      <c r="I1253" s="25"/>
    </row>
    <row r="1254" spans="7:9" x14ac:dyDescent="0.2">
      <c r="G1254" s="23"/>
      <c r="H1254" s="24"/>
      <c r="I1254" s="25"/>
    </row>
    <row r="1255" spans="7:9" x14ac:dyDescent="0.2">
      <c r="G1255" s="23"/>
      <c r="H1255" s="24"/>
      <c r="I1255" s="25"/>
    </row>
    <row r="1256" spans="7:9" x14ac:dyDescent="0.2">
      <c r="G1256" s="23"/>
      <c r="H1256" s="24"/>
      <c r="I1256" s="25"/>
    </row>
    <row r="1257" spans="7:9" x14ac:dyDescent="0.2">
      <c r="G1257" s="23"/>
      <c r="H1257" s="24"/>
      <c r="I1257" s="25"/>
    </row>
    <row r="1258" spans="7:9" x14ac:dyDescent="0.2">
      <c r="G1258" s="23"/>
      <c r="H1258" s="24"/>
      <c r="I1258" s="25"/>
    </row>
    <row r="1259" spans="7:9" x14ac:dyDescent="0.2">
      <c r="G1259" s="23"/>
      <c r="H1259" s="24"/>
      <c r="I1259" s="25"/>
    </row>
    <row r="1260" spans="7:9" x14ac:dyDescent="0.2">
      <c r="G1260" s="23"/>
      <c r="H1260" s="24"/>
      <c r="I1260" s="25"/>
    </row>
    <row r="1261" spans="7:9" x14ac:dyDescent="0.2">
      <c r="G1261" s="23"/>
      <c r="H1261" s="24"/>
      <c r="I1261" s="25"/>
    </row>
    <row r="1262" spans="7:9" x14ac:dyDescent="0.2">
      <c r="G1262" s="23"/>
      <c r="H1262" s="24"/>
      <c r="I1262" s="25"/>
    </row>
    <row r="1263" spans="7:9" x14ac:dyDescent="0.2">
      <c r="G1263" s="23"/>
      <c r="H1263" s="24"/>
      <c r="I1263" s="25"/>
    </row>
    <row r="1264" spans="7:9" x14ac:dyDescent="0.2">
      <c r="G1264" s="23"/>
      <c r="H1264" s="24"/>
      <c r="I1264" s="25"/>
    </row>
    <row r="1265" spans="7:9" x14ac:dyDescent="0.2">
      <c r="G1265" s="23"/>
      <c r="H1265" s="24"/>
      <c r="I1265" s="25"/>
    </row>
    <row r="1266" spans="7:9" x14ac:dyDescent="0.2">
      <c r="G1266" s="23"/>
      <c r="H1266" s="24"/>
      <c r="I1266" s="25"/>
    </row>
    <row r="1267" spans="7:9" x14ac:dyDescent="0.2">
      <c r="G1267" s="23"/>
      <c r="H1267" s="24"/>
      <c r="I1267" s="25"/>
    </row>
    <row r="1268" spans="7:9" x14ac:dyDescent="0.2">
      <c r="G1268" s="23"/>
      <c r="H1268" s="24"/>
      <c r="I1268" s="25"/>
    </row>
    <row r="1269" spans="7:9" x14ac:dyDescent="0.2">
      <c r="G1269" s="23"/>
      <c r="H1269" s="24"/>
      <c r="I1269" s="25"/>
    </row>
    <row r="1270" spans="7:9" x14ac:dyDescent="0.2">
      <c r="G1270" s="23"/>
      <c r="H1270" s="24"/>
      <c r="I1270" s="25"/>
    </row>
    <row r="1271" spans="7:9" x14ac:dyDescent="0.2">
      <c r="G1271" s="23"/>
      <c r="H1271" s="24"/>
      <c r="I1271" s="25"/>
    </row>
    <row r="1272" spans="7:9" x14ac:dyDescent="0.2">
      <c r="G1272" s="23"/>
      <c r="H1272" s="24"/>
      <c r="I1272" s="25"/>
    </row>
    <row r="1273" spans="7:9" x14ac:dyDescent="0.2">
      <c r="G1273" s="23"/>
      <c r="H1273" s="24"/>
      <c r="I1273" s="25"/>
    </row>
    <row r="1274" spans="7:9" x14ac:dyDescent="0.2">
      <c r="G1274" s="23"/>
      <c r="H1274" s="24"/>
      <c r="I1274" s="25"/>
    </row>
    <row r="1275" spans="7:9" x14ac:dyDescent="0.2">
      <c r="G1275" s="23"/>
      <c r="H1275" s="24"/>
      <c r="I1275" s="25"/>
    </row>
    <row r="1276" spans="7:9" x14ac:dyDescent="0.2">
      <c r="G1276" s="23"/>
      <c r="H1276" s="24"/>
      <c r="I1276" s="25"/>
    </row>
    <row r="1277" spans="7:9" x14ac:dyDescent="0.2">
      <c r="G1277" s="23"/>
      <c r="H1277" s="24"/>
      <c r="I1277" s="25"/>
    </row>
    <row r="1278" spans="7:9" x14ac:dyDescent="0.2">
      <c r="G1278" s="23"/>
      <c r="H1278" s="24"/>
      <c r="I1278" s="25"/>
    </row>
    <row r="1279" spans="7:9" x14ac:dyDescent="0.2">
      <c r="G1279" s="23"/>
      <c r="H1279" s="24"/>
      <c r="I1279" s="25"/>
    </row>
    <row r="1280" spans="7:9" x14ac:dyDescent="0.2">
      <c r="G1280" s="23"/>
      <c r="H1280" s="24"/>
      <c r="I1280" s="25"/>
    </row>
    <row r="1281" spans="7:9" x14ac:dyDescent="0.2">
      <c r="G1281" s="23"/>
      <c r="H1281" s="24"/>
      <c r="I1281" s="25"/>
    </row>
    <row r="1282" spans="7:9" x14ac:dyDescent="0.2">
      <c r="G1282" s="23"/>
      <c r="H1282" s="24"/>
      <c r="I1282" s="25"/>
    </row>
    <row r="1283" spans="7:9" x14ac:dyDescent="0.2">
      <c r="G1283" s="23"/>
      <c r="H1283" s="24"/>
      <c r="I1283" s="25"/>
    </row>
    <row r="1284" spans="7:9" x14ac:dyDescent="0.2">
      <c r="G1284" s="23"/>
      <c r="H1284" s="24"/>
      <c r="I1284" s="25"/>
    </row>
    <row r="1285" spans="7:9" x14ac:dyDescent="0.2">
      <c r="G1285" s="23"/>
      <c r="H1285" s="24"/>
      <c r="I1285" s="25"/>
    </row>
    <row r="1286" spans="7:9" x14ac:dyDescent="0.2">
      <c r="G1286" s="23"/>
      <c r="H1286" s="24"/>
      <c r="I1286" s="25"/>
    </row>
    <row r="1287" spans="7:9" x14ac:dyDescent="0.2">
      <c r="G1287" s="23"/>
      <c r="H1287" s="24"/>
      <c r="I1287" s="25"/>
    </row>
    <row r="1288" spans="7:9" x14ac:dyDescent="0.2">
      <c r="G1288" s="23"/>
      <c r="H1288" s="24"/>
      <c r="I1288" s="25"/>
    </row>
    <row r="1289" spans="7:9" x14ac:dyDescent="0.2">
      <c r="G1289" s="23"/>
      <c r="H1289" s="24"/>
      <c r="I1289" s="25"/>
    </row>
    <row r="1290" spans="7:9" x14ac:dyDescent="0.2">
      <c r="G1290" s="23"/>
      <c r="H1290" s="24"/>
      <c r="I1290" s="25"/>
    </row>
    <row r="1291" spans="7:9" x14ac:dyDescent="0.2">
      <c r="G1291" s="23"/>
      <c r="H1291" s="24"/>
      <c r="I1291" s="25"/>
    </row>
    <row r="1292" spans="7:9" x14ac:dyDescent="0.2">
      <c r="G1292" s="23"/>
      <c r="H1292" s="24"/>
      <c r="I1292" s="25"/>
    </row>
    <row r="1293" spans="7:9" x14ac:dyDescent="0.2">
      <c r="G1293" s="23"/>
      <c r="H1293" s="24"/>
      <c r="I1293" s="25"/>
    </row>
    <row r="1294" spans="7:9" x14ac:dyDescent="0.2">
      <c r="G1294" s="23"/>
      <c r="H1294" s="24"/>
      <c r="I1294" s="25"/>
    </row>
    <row r="1295" spans="7:9" x14ac:dyDescent="0.2">
      <c r="G1295" s="23"/>
      <c r="H1295" s="24"/>
      <c r="I1295" s="25"/>
    </row>
    <row r="1296" spans="7:9" x14ac:dyDescent="0.2">
      <c r="G1296" s="23"/>
      <c r="H1296" s="24"/>
      <c r="I1296" s="25"/>
    </row>
    <row r="1297" spans="7:9" x14ac:dyDescent="0.2">
      <c r="G1297" s="23"/>
      <c r="H1297" s="24"/>
      <c r="I1297" s="25"/>
    </row>
    <row r="1298" spans="7:9" x14ac:dyDescent="0.2">
      <c r="G1298" s="23"/>
      <c r="H1298" s="24"/>
      <c r="I1298" s="25"/>
    </row>
    <row r="1299" spans="7:9" x14ac:dyDescent="0.2">
      <c r="G1299" s="23"/>
      <c r="H1299" s="24"/>
      <c r="I1299" s="25"/>
    </row>
    <row r="1300" spans="7:9" x14ac:dyDescent="0.2">
      <c r="G1300" s="23"/>
      <c r="H1300" s="24"/>
      <c r="I1300" s="25"/>
    </row>
    <row r="1301" spans="7:9" x14ac:dyDescent="0.2">
      <c r="G1301" s="23"/>
      <c r="H1301" s="24"/>
      <c r="I1301" s="25"/>
    </row>
    <row r="1302" spans="7:9" x14ac:dyDescent="0.2">
      <c r="G1302" s="23"/>
      <c r="H1302" s="24"/>
      <c r="I1302" s="25"/>
    </row>
    <row r="1303" spans="7:9" x14ac:dyDescent="0.2">
      <c r="G1303" s="23"/>
      <c r="H1303" s="24"/>
      <c r="I1303" s="25"/>
    </row>
    <row r="1304" spans="7:9" x14ac:dyDescent="0.2">
      <c r="G1304" s="23"/>
      <c r="H1304" s="24"/>
      <c r="I1304" s="25"/>
    </row>
    <row r="1305" spans="7:9" x14ac:dyDescent="0.2">
      <c r="G1305" s="23"/>
      <c r="H1305" s="24"/>
      <c r="I1305" s="25"/>
    </row>
    <row r="1306" spans="7:9" x14ac:dyDescent="0.2">
      <c r="G1306" s="23"/>
      <c r="H1306" s="24"/>
      <c r="I1306" s="25"/>
    </row>
    <row r="1307" spans="7:9" x14ac:dyDescent="0.2">
      <c r="G1307" s="23"/>
      <c r="H1307" s="24"/>
      <c r="I1307" s="25"/>
    </row>
    <row r="1308" spans="7:9" x14ac:dyDescent="0.2">
      <c r="G1308" s="23"/>
      <c r="H1308" s="24"/>
      <c r="I1308" s="25"/>
    </row>
    <row r="1309" spans="7:9" x14ac:dyDescent="0.2">
      <c r="G1309" s="23"/>
      <c r="H1309" s="24"/>
      <c r="I1309" s="25"/>
    </row>
    <row r="1310" spans="7:9" x14ac:dyDescent="0.2">
      <c r="G1310" s="23"/>
      <c r="H1310" s="24"/>
      <c r="I1310" s="25"/>
    </row>
    <row r="1311" spans="7:9" x14ac:dyDescent="0.2">
      <c r="G1311" s="23"/>
      <c r="H1311" s="24"/>
      <c r="I1311" s="25"/>
    </row>
    <row r="1312" spans="7:9" x14ac:dyDescent="0.2">
      <c r="G1312" s="23"/>
      <c r="H1312" s="24"/>
      <c r="I1312" s="25"/>
    </row>
    <row r="1313" spans="7:9" x14ac:dyDescent="0.2">
      <c r="G1313" s="23"/>
      <c r="H1313" s="24"/>
      <c r="I1313" s="25"/>
    </row>
    <row r="1314" spans="7:9" x14ac:dyDescent="0.2">
      <c r="G1314" s="23"/>
      <c r="H1314" s="24"/>
      <c r="I1314" s="25"/>
    </row>
    <row r="1315" spans="7:9" x14ac:dyDescent="0.2">
      <c r="G1315" s="23"/>
      <c r="H1315" s="24"/>
      <c r="I1315" s="25"/>
    </row>
    <row r="1316" spans="7:9" x14ac:dyDescent="0.2">
      <c r="G1316" s="23"/>
      <c r="H1316" s="24"/>
      <c r="I1316" s="25"/>
    </row>
    <row r="1317" spans="7:9" x14ac:dyDescent="0.2">
      <c r="G1317" s="23"/>
      <c r="H1317" s="24"/>
      <c r="I1317" s="25"/>
    </row>
    <row r="1318" spans="7:9" x14ac:dyDescent="0.2">
      <c r="G1318" s="23"/>
      <c r="H1318" s="24"/>
      <c r="I1318" s="25"/>
    </row>
    <row r="1319" spans="7:9" x14ac:dyDescent="0.2">
      <c r="G1319" s="23"/>
      <c r="H1319" s="24"/>
      <c r="I1319" s="25"/>
    </row>
    <row r="1320" spans="7:9" x14ac:dyDescent="0.2">
      <c r="G1320" s="23"/>
      <c r="H1320" s="24"/>
      <c r="I1320" s="25"/>
    </row>
    <row r="1321" spans="7:9" x14ac:dyDescent="0.2">
      <c r="G1321" s="23"/>
      <c r="H1321" s="24"/>
      <c r="I1321" s="25"/>
    </row>
    <row r="1322" spans="7:9" x14ac:dyDescent="0.2">
      <c r="G1322" s="23"/>
      <c r="H1322" s="24"/>
      <c r="I1322" s="25"/>
    </row>
    <row r="1323" spans="7:9" x14ac:dyDescent="0.2">
      <c r="G1323" s="23"/>
      <c r="H1323" s="24"/>
      <c r="I1323" s="25"/>
    </row>
    <row r="1324" spans="7:9" x14ac:dyDescent="0.2">
      <c r="G1324" s="23"/>
      <c r="H1324" s="24"/>
      <c r="I1324" s="25"/>
    </row>
    <row r="1325" spans="7:9" x14ac:dyDescent="0.2">
      <c r="G1325" s="23"/>
      <c r="H1325" s="24"/>
      <c r="I1325" s="25"/>
    </row>
    <row r="1326" spans="7:9" x14ac:dyDescent="0.2">
      <c r="G1326" s="23"/>
      <c r="H1326" s="24"/>
      <c r="I1326" s="25"/>
    </row>
    <row r="1327" spans="7:9" x14ac:dyDescent="0.2">
      <c r="G1327" s="23"/>
      <c r="H1327" s="24"/>
      <c r="I1327" s="25"/>
    </row>
    <row r="1328" spans="7:9" x14ac:dyDescent="0.2">
      <c r="G1328" s="23"/>
      <c r="H1328" s="24"/>
      <c r="I1328" s="25"/>
    </row>
    <row r="1329" spans="7:9" x14ac:dyDescent="0.2">
      <c r="G1329" s="23"/>
      <c r="H1329" s="24"/>
      <c r="I1329" s="25"/>
    </row>
    <row r="1330" spans="7:9" x14ac:dyDescent="0.2">
      <c r="G1330" s="23"/>
      <c r="H1330" s="24"/>
      <c r="I1330" s="25"/>
    </row>
    <row r="1331" spans="7:9" x14ac:dyDescent="0.2">
      <c r="G1331" s="23"/>
      <c r="H1331" s="24"/>
      <c r="I1331" s="25"/>
    </row>
    <row r="1332" spans="7:9" x14ac:dyDescent="0.2">
      <c r="G1332" s="23"/>
      <c r="H1332" s="24"/>
      <c r="I1332" s="25"/>
    </row>
    <row r="1333" spans="7:9" x14ac:dyDescent="0.2">
      <c r="G1333" s="23"/>
      <c r="H1333" s="24"/>
      <c r="I1333" s="25"/>
    </row>
    <row r="1334" spans="7:9" x14ac:dyDescent="0.2">
      <c r="G1334" s="23"/>
      <c r="H1334" s="24"/>
      <c r="I1334" s="25"/>
    </row>
    <row r="1335" spans="7:9" x14ac:dyDescent="0.2">
      <c r="G1335" s="23"/>
      <c r="H1335" s="24"/>
      <c r="I1335" s="25"/>
    </row>
    <row r="1336" spans="7:9" x14ac:dyDescent="0.2">
      <c r="G1336" s="23"/>
      <c r="H1336" s="24"/>
      <c r="I1336" s="25"/>
    </row>
    <row r="1337" spans="7:9" x14ac:dyDescent="0.2">
      <c r="G1337" s="23"/>
      <c r="H1337" s="24"/>
      <c r="I1337" s="25"/>
    </row>
    <row r="1338" spans="7:9" x14ac:dyDescent="0.2">
      <c r="G1338" s="23"/>
      <c r="H1338" s="24"/>
      <c r="I1338" s="25"/>
    </row>
    <row r="1339" spans="7:9" x14ac:dyDescent="0.2">
      <c r="G1339" s="23"/>
      <c r="H1339" s="24"/>
      <c r="I1339" s="25"/>
    </row>
    <row r="1340" spans="7:9" x14ac:dyDescent="0.2">
      <c r="G1340" s="23"/>
      <c r="H1340" s="24"/>
      <c r="I1340" s="25"/>
    </row>
    <row r="1341" spans="7:9" x14ac:dyDescent="0.2">
      <c r="G1341" s="23"/>
      <c r="H1341" s="24"/>
      <c r="I1341" s="25"/>
    </row>
    <row r="1342" spans="7:9" x14ac:dyDescent="0.2">
      <c r="G1342" s="23"/>
      <c r="H1342" s="24"/>
      <c r="I1342" s="25"/>
    </row>
    <row r="1343" spans="7:9" x14ac:dyDescent="0.2">
      <c r="G1343" s="23"/>
      <c r="H1343" s="24"/>
      <c r="I1343" s="25"/>
    </row>
    <row r="1344" spans="7:9" x14ac:dyDescent="0.2">
      <c r="G1344" s="23"/>
      <c r="H1344" s="24"/>
      <c r="I1344" s="25"/>
    </row>
    <row r="1345" spans="7:9" x14ac:dyDescent="0.2">
      <c r="G1345" s="23"/>
      <c r="H1345" s="24"/>
      <c r="I1345" s="25"/>
    </row>
    <row r="1346" spans="7:9" x14ac:dyDescent="0.2">
      <c r="G1346" s="23"/>
      <c r="H1346" s="24"/>
      <c r="I1346" s="25"/>
    </row>
    <row r="1347" spans="7:9" x14ac:dyDescent="0.2">
      <c r="G1347" s="23"/>
      <c r="H1347" s="24"/>
      <c r="I1347" s="25"/>
    </row>
    <row r="1348" spans="7:9" x14ac:dyDescent="0.2">
      <c r="G1348" s="23"/>
      <c r="H1348" s="24"/>
      <c r="I1348" s="25"/>
    </row>
    <row r="1349" spans="7:9" x14ac:dyDescent="0.2">
      <c r="G1349" s="23"/>
      <c r="H1349" s="24"/>
      <c r="I1349" s="25"/>
    </row>
    <row r="1350" spans="7:9" x14ac:dyDescent="0.2">
      <c r="G1350" s="23"/>
      <c r="H1350" s="24"/>
      <c r="I1350" s="25"/>
    </row>
    <row r="1351" spans="7:9" x14ac:dyDescent="0.2">
      <c r="G1351" s="23"/>
      <c r="H1351" s="24"/>
      <c r="I1351" s="25"/>
    </row>
    <row r="1352" spans="7:9" x14ac:dyDescent="0.2">
      <c r="G1352" s="23"/>
      <c r="H1352" s="24"/>
      <c r="I1352" s="25"/>
    </row>
    <row r="1353" spans="7:9" x14ac:dyDescent="0.2">
      <c r="G1353" s="23"/>
      <c r="H1353" s="24"/>
      <c r="I1353" s="25"/>
    </row>
    <row r="1354" spans="7:9" x14ac:dyDescent="0.2">
      <c r="G1354" s="23"/>
      <c r="H1354" s="24"/>
      <c r="I1354" s="25"/>
    </row>
    <row r="1355" spans="7:9" x14ac:dyDescent="0.2">
      <c r="G1355" s="23"/>
      <c r="H1355" s="24"/>
      <c r="I1355" s="25"/>
    </row>
    <row r="1356" spans="7:9" x14ac:dyDescent="0.2">
      <c r="G1356" s="23"/>
      <c r="H1356" s="24"/>
      <c r="I1356" s="25"/>
    </row>
    <row r="1357" spans="7:9" x14ac:dyDescent="0.2">
      <c r="G1357" s="23"/>
      <c r="H1357" s="24"/>
      <c r="I1357" s="25"/>
    </row>
    <row r="1358" spans="7:9" x14ac:dyDescent="0.2">
      <c r="G1358" s="23"/>
      <c r="H1358" s="24"/>
      <c r="I1358" s="25"/>
    </row>
    <row r="1359" spans="7:9" x14ac:dyDescent="0.2">
      <c r="G1359" s="23"/>
      <c r="H1359" s="24"/>
      <c r="I1359" s="25"/>
    </row>
    <row r="1360" spans="7:9" x14ac:dyDescent="0.2">
      <c r="G1360" s="23"/>
      <c r="H1360" s="24"/>
      <c r="I1360" s="25"/>
    </row>
    <row r="1361" spans="7:9" x14ac:dyDescent="0.2">
      <c r="G1361" s="23"/>
      <c r="H1361" s="24"/>
      <c r="I1361" s="25"/>
    </row>
    <row r="1362" spans="7:9" x14ac:dyDescent="0.2">
      <c r="G1362" s="23"/>
      <c r="H1362" s="24"/>
      <c r="I1362" s="25"/>
    </row>
    <row r="1363" spans="7:9" x14ac:dyDescent="0.2">
      <c r="G1363" s="23"/>
      <c r="H1363" s="24"/>
      <c r="I1363" s="25"/>
    </row>
    <row r="1364" spans="7:9" x14ac:dyDescent="0.2">
      <c r="G1364" s="23"/>
      <c r="H1364" s="24"/>
      <c r="I1364" s="25"/>
    </row>
    <row r="1365" spans="7:9" x14ac:dyDescent="0.2">
      <c r="G1365" s="23"/>
      <c r="H1365" s="24"/>
      <c r="I1365" s="25"/>
    </row>
    <row r="1366" spans="7:9" x14ac:dyDescent="0.2">
      <c r="G1366" s="23"/>
      <c r="H1366" s="24"/>
      <c r="I1366" s="25"/>
    </row>
    <row r="1367" spans="7:9" x14ac:dyDescent="0.2">
      <c r="G1367" s="23"/>
      <c r="H1367" s="24"/>
      <c r="I1367" s="25"/>
    </row>
    <row r="1368" spans="7:9" x14ac:dyDescent="0.2">
      <c r="G1368" s="23"/>
      <c r="H1368" s="24"/>
      <c r="I1368" s="25"/>
    </row>
    <row r="1369" spans="7:9" x14ac:dyDescent="0.2">
      <c r="G1369" s="23"/>
      <c r="H1369" s="24"/>
      <c r="I1369" s="25"/>
    </row>
    <row r="1370" spans="7:9" x14ac:dyDescent="0.2">
      <c r="G1370" s="23"/>
      <c r="H1370" s="24"/>
      <c r="I1370" s="25"/>
    </row>
    <row r="1371" spans="7:9" x14ac:dyDescent="0.2">
      <c r="G1371" s="23"/>
      <c r="H1371" s="24"/>
      <c r="I1371" s="25"/>
    </row>
    <row r="1372" spans="7:9" x14ac:dyDescent="0.2">
      <c r="G1372" s="23"/>
      <c r="H1372" s="24"/>
      <c r="I1372" s="25"/>
    </row>
    <row r="1373" spans="7:9" x14ac:dyDescent="0.2">
      <c r="G1373" s="23"/>
      <c r="H1373" s="24"/>
      <c r="I1373" s="25"/>
    </row>
    <row r="1374" spans="7:9" x14ac:dyDescent="0.2">
      <c r="G1374" s="23"/>
      <c r="H1374" s="24"/>
      <c r="I1374" s="25"/>
    </row>
    <row r="1375" spans="7:9" x14ac:dyDescent="0.2">
      <c r="G1375" s="23"/>
      <c r="H1375" s="24"/>
      <c r="I1375" s="25"/>
    </row>
    <row r="1376" spans="7:9" x14ac:dyDescent="0.2">
      <c r="G1376" s="23"/>
      <c r="H1376" s="24"/>
      <c r="I1376" s="25"/>
    </row>
    <row r="1377" spans="7:9" x14ac:dyDescent="0.2">
      <c r="G1377" s="23"/>
      <c r="H1377" s="24"/>
      <c r="I1377" s="25"/>
    </row>
    <row r="1378" spans="7:9" x14ac:dyDescent="0.2">
      <c r="G1378" s="23"/>
      <c r="H1378" s="24"/>
      <c r="I1378" s="25"/>
    </row>
    <row r="1379" spans="7:9" x14ac:dyDescent="0.2">
      <c r="G1379" s="23"/>
      <c r="H1379" s="24"/>
      <c r="I1379" s="25"/>
    </row>
    <row r="1380" spans="7:9" x14ac:dyDescent="0.2">
      <c r="G1380" s="23"/>
      <c r="H1380" s="24"/>
      <c r="I1380" s="25"/>
    </row>
    <row r="1381" spans="7:9" x14ac:dyDescent="0.2">
      <c r="G1381" s="23"/>
      <c r="H1381" s="24"/>
      <c r="I1381" s="25"/>
    </row>
    <row r="1382" spans="7:9" x14ac:dyDescent="0.2">
      <c r="G1382" s="23"/>
      <c r="H1382" s="24"/>
      <c r="I1382" s="25"/>
    </row>
    <row r="1383" spans="7:9" x14ac:dyDescent="0.2">
      <c r="G1383" s="23"/>
      <c r="H1383" s="24"/>
      <c r="I1383" s="25"/>
    </row>
    <row r="1384" spans="7:9" x14ac:dyDescent="0.2">
      <c r="G1384" s="23"/>
      <c r="H1384" s="24"/>
      <c r="I1384" s="25"/>
    </row>
    <row r="1385" spans="7:9" x14ac:dyDescent="0.2">
      <c r="G1385" s="23"/>
      <c r="H1385" s="24"/>
      <c r="I1385" s="25"/>
    </row>
    <row r="1386" spans="7:9" x14ac:dyDescent="0.2">
      <c r="G1386" s="23"/>
      <c r="H1386" s="24"/>
      <c r="I1386" s="25"/>
    </row>
    <row r="1387" spans="7:9" x14ac:dyDescent="0.2">
      <c r="G1387" s="23"/>
      <c r="H1387" s="24"/>
      <c r="I1387" s="25"/>
    </row>
    <row r="1388" spans="7:9" x14ac:dyDescent="0.2">
      <c r="G1388" s="23"/>
      <c r="H1388" s="24"/>
      <c r="I1388" s="25"/>
    </row>
    <row r="1389" spans="7:9" x14ac:dyDescent="0.2">
      <c r="G1389" s="23"/>
      <c r="H1389" s="24"/>
      <c r="I1389" s="25"/>
    </row>
    <row r="1390" spans="7:9" x14ac:dyDescent="0.2">
      <c r="G1390" s="23"/>
      <c r="H1390" s="24"/>
      <c r="I1390" s="25"/>
    </row>
    <row r="1391" spans="7:9" x14ac:dyDescent="0.2">
      <c r="G1391" s="23"/>
      <c r="H1391" s="24"/>
      <c r="I1391" s="25"/>
    </row>
    <row r="1392" spans="7:9" x14ac:dyDescent="0.2">
      <c r="G1392" s="23"/>
      <c r="H1392" s="24"/>
      <c r="I1392" s="25"/>
    </row>
    <row r="1393" spans="7:9" x14ac:dyDescent="0.2">
      <c r="G1393" s="23"/>
      <c r="H1393" s="24"/>
      <c r="I1393" s="25"/>
    </row>
    <row r="1394" spans="7:9" x14ac:dyDescent="0.2">
      <c r="G1394" s="23"/>
      <c r="H1394" s="24"/>
      <c r="I1394" s="25"/>
    </row>
    <row r="1395" spans="7:9" x14ac:dyDescent="0.2">
      <c r="G1395" s="23"/>
      <c r="H1395" s="24"/>
      <c r="I1395" s="25"/>
    </row>
    <row r="1396" spans="7:9" x14ac:dyDescent="0.2">
      <c r="G1396" s="23"/>
      <c r="H1396" s="24"/>
      <c r="I1396" s="25"/>
    </row>
    <row r="1397" spans="7:9" x14ac:dyDescent="0.2">
      <c r="G1397" s="23"/>
      <c r="H1397" s="24"/>
      <c r="I1397" s="25"/>
    </row>
    <row r="1398" spans="7:9" x14ac:dyDescent="0.2">
      <c r="G1398" s="23"/>
      <c r="H1398" s="24"/>
      <c r="I1398" s="25"/>
    </row>
    <row r="1399" spans="7:9" x14ac:dyDescent="0.2">
      <c r="G1399" s="23"/>
      <c r="H1399" s="24"/>
      <c r="I1399" s="25"/>
    </row>
    <row r="1400" spans="7:9" x14ac:dyDescent="0.2">
      <c r="G1400" s="23"/>
      <c r="H1400" s="24"/>
      <c r="I1400" s="25"/>
    </row>
    <row r="1401" spans="7:9" x14ac:dyDescent="0.2">
      <c r="G1401" s="23"/>
      <c r="H1401" s="24"/>
      <c r="I1401" s="25"/>
    </row>
    <row r="1402" spans="7:9" x14ac:dyDescent="0.2">
      <c r="G1402" s="23"/>
      <c r="H1402" s="24"/>
      <c r="I1402" s="25"/>
    </row>
    <row r="1403" spans="7:9" x14ac:dyDescent="0.2">
      <c r="G1403" s="23"/>
      <c r="H1403" s="24"/>
      <c r="I1403" s="25"/>
    </row>
    <row r="1404" spans="7:9" x14ac:dyDescent="0.2">
      <c r="G1404" s="23"/>
      <c r="H1404" s="24"/>
      <c r="I1404" s="25"/>
    </row>
    <row r="1405" spans="7:9" x14ac:dyDescent="0.2">
      <c r="G1405" s="23"/>
      <c r="H1405" s="24"/>
      <c r="I1405" s="25"/>
    </row>
    <row r="1406" spans="7:9" x14ac:dyDescent="0.2">
      <c r="G1406" s="23"/>
      <c r="H1406" s="24"/>
      <c r="I1406" s="25"/>
    </row>
    <row r="1407" spans="7:9" x14ac:dyDescent="0.2">
      <c r="G1407" s="23"/>
      <c r="H1407" s="24"/>
      <c r="I1407" s="25"/>
    </row>
    <row r="1408" spans="7:9" x14ac:dyDescent="0.2">
      <c r="G1408" s="23"/>
      <c r="H1408" s="24"/>
      <c r="I1408" s="25"/>
    </row>
    <row r="1409" spans="7:9" x14ac:dyDescent="0.2">
      <c r="G1409" s="23"/>
      <c r="H1409" s="24"/>
      <c r="I1409" s="25"/>
    </row>
    <row r="1410" spans="7:9" x14ac:dyDescent="0.2">
      <c r="G1410" s="23"/>
      <c r="H1410" s="24"/>
      <c r="I1410" s="25"/>
    </row>
    <row r="1411" spans="7:9" x14ac:dyDescent="0.2">
      <c r="G1411" s="23"/>
      <c r="H1411" s="24"/>
      <c r="I1411" s="25"/>
    </row>
    <row r="1412" spans="7:9" x14ac:dyDescent="0.2">
      <c r="G1412" s="23"/>
      <c r="H1412" s="24"/>
      <c r="I1412" s="25"/>
    </row>
    <row r="1413" spans="7:9" x14ac:dyDescent="0.2">
      <c r="G1413" s="23"/>
      <c r="H1413" s="24"/>
      <c r="I1413" s="25"/>
    </row>
    <row r="1414" spans="7:9" x14ac:dyDescent="0.2">
      <c r="G1414" s="23"/>
      <c r="H1414" s="24"/>
      <c r="I1414" s="25"/>
    </row>
    <row r="1415" spans="7:9" x14ac:dyDescent="0.2">
      <c r="G1415" s="23"/>
      <c r="H1415" s="24"/>
      <c r="I1415" s="25"/>
    </row>
    <row r="1416" spans="7:9" x14ac:dyDescent="0.2">
      <c r="G1416" s="23"/>
      <c r="H1416" s="24"/>
      <c r="I1416" s="25"/>
    </row>
    <row r="1417" spans="7:9" x14ac:dyDescent="0.2">
      <c r="G1417" s="23"/>
      <c r="H1417" s="24"/>
      <c r="I1417" s="25"/>
    </row>
    <row r="1418" spans="7:9" x14ac:dyDescent="0.2">
      <c r="G1418" s="23"/>
      <c r="H1418" s="24"/>
      <c r="I1418" s="25"/>
    </row>
    <row r="1419" spans="7:9" x14ac:dyDescent="0.2">
      <c r="G1419" s="23"/>
      <c r="H1419" s="24"/>
      <c r="I1419" s="25"/>
    </row>
    <row r="1420" spans="7:9" x14ac:dyDescent="0.2">
      <c r="G1420" s="23"/>
      <c r="H1420" s="24"/>
      <c r="I1420" s="25"/>
    </row>
    <row r="1421" spans="7:9" x14ac:dyDescent="0.2">
      <c r="G1421" s="23"/>
      <c r="H1421" s="24"/>
      <c r="I1421" s="25"/>
    </row>
    <row r="1422" spans="7:9" x14ac:dyDescent="0.2">
      <c r="G1422" s="23"/>
      <c r="H1422" s="24"/>
      <c r="I1422" s="25"/>
    </row>
    <row r="1423" spans="7:9" x14ac:dyDescent="0.2">
      <c r="G1423" s="23"/>
      <c r="H1423" s="24"/>
      <c r="I1423" s="25"/>
    </row>
    <row r="1424" spans="7:9" x14ac:dyDescent="0.2">
      <c r="G1424" s="23"/>
      <c r="H1424" s="24"/>
      <c r="I1424" s="25"/>
    </row>
    <row r="1425" spans="7:9" x14ac:dyDescent="0.2">
      <c r="G1425" s="23"/>
      <c r="H1425" s="24"/>
      <c r="I1425" s="25"/>
    </row>
    <row r="1426" spans="7:9" x14ac:dyDescent="0.2">
      <c r="G1426" s="23"/>
      <c r="H1426" s="24"/>
      <c r="I1426" s="25"/>
    </row>
    <row r="1427" spans="7:9" x14ac:dyDescent="0.2">
      <c r="G1427" s="23"/>
      <c r="H1427" s="24"/>
      <c r="I1427" s="25"/>
    </row>
    <row r="1428" spans="7:9" x14ac:dyDescent="0.2">
      <c r="G1428" s="23"/>
      <c r="H1428" s="24"/>
      <c r="I1428" s="25"/>
    </row>
    <row r="1429" spans="7:9" x14ac:dyDescent="0.2">
      <c r="G1429" s="23"/>
      <c r="H1429" s="24"/>
      <c r="I1429" s="25"/>
    </row>
    <row r="1430" spans="7:9" x14ac:dyDescent="0.2">
      <c r="G1430" s="23"/>
      <c r="H1430" s="24"/>
      <c r="I1430" s="25"/>
    </row>
    <row r="1431" spans="7:9" x14ac:dyDescent="0.2">
      <c r="G1431" s="23"/>
      <c r="H1431" s="24"/>
      <c r="I1431" s="25"/>
    </row>
    <row r="1432" spans="7:9" x14ac:dyDescent="0.2">
      <c r="G1432" s="23"/>
      <c r="H1432" s="24"/>
      <c r="I1432" s="25"/>
    </row>
    <row r="1433" spans="7:9" x14ac:dyDescent="0.2">
      <c r="G1433" s="23"/>
      <c r="H1433" s="24"/>
      <c r="I1433" s="25"/>
    </row>
    <row r="1434" spans="7:9" x14ac:dyDescent="0.2">
      <c r="G1434" s="23"/>
      <c r="H1434" s="24"/>
      <c r="I1434" s="25"/>
    </row>
    <row r="1435" spans="7:9" x14ac:dyDescent="0.2">
      <c r="G1435" s="23"/>
      <c r="H1435" s="24"/>
      <c r="I1435" s="25"/>
    </row>
    <row r="1436" spans="7:9" x14ac:dyDescent="0.2">
      <c r="G1436" s="23"/>
      <c r="H1436" s="24"/>
      <c r="I1436" s="25"/>
    </row>
    <row r="1437" spans="7:9" x14ac:dyDescent="0.2">
      <c r="G1437" s="23"/>
      <c r="H1437" s="24"/>
      <c r="I1437" s="25"/>
    </row>
    <row r="1438" spans="7:9" x14ac:dyDescent="0.2">
      <c r="G1438" s="23"/>
      <c r="H1438" s="24"/>
      <c r="I1438" s="25"/>
    </row>
    <row r="1439" spans="7:9" x14ac:dyDescent="0.2">
      <c r="G1439" s="23"/>
      <c r="H1439" s="24"/>
      <c r="I1439" s="25"/>
    </row>
    <row r="1440" spans="7:9" x14ac:dyDescent="0.2">
      <c r="G1440" s="23"/>
      <c r="H1440" s="24"/>
      <c r="I1440" s="25"/>
    </row>
    <row r="1441" spans="7:9" x14ac:dyDescent="0.2">
      <c r="G1441" s="23"/>
      <c r="H1441" s="24"/>
      <c r="I1441" s="25"/>
    </row>
    <row r="1442" spans="7:9" x14ac:dyDescent="0.2">
      <c r="G1442" s="23"/>
      <c r="H1442" s="24"/>
      <c r="I1442" s="25"/>
    </row>
    <row r="1443" spans="7:9" x14ac:dyDescent="0.2">
      <c r="G1443" s="23"/>
      <c r="H1443" s="24"/>
      <c r="I1443" s="25"/>
    </row>
    <row r="1444" spans="7:9" x14ac:dyDescent="0.2">
      <c r="G1444" s="23"/>
      <c r="H1444" s="24"/>
      <c r="I1444" s="25"/>
    </row>
    <row r="1445" spans="7:9" x14ac:dyDescent="0.2">
      <c r="G1445" s="23"/>
      <c r="H1445" s="24"/>
      <c r="I1445" s="25"/>
    </row>
    <row r="1446" spans="7:9" x14ac:dyDescent="0.2">
      <c r="G1446" s="23"/>
      <c r="H1446" s="24"/>
      <c r="I1446" s="25"/>
    </row>
    <row r="1447" spans="7:9" x14ac:dyDescent="0.2">
      <c r="G1447" s="23"/>
      <c r="H1447" s="24"/>
      <c r="I1447" s="25"/>
    </row>
    <row r="1448" spans="7:9" x14ac:dyDescent="0.2">
      <c r="G1448" s="23"/>
      <c r="H1448" s="24"/>
      <c r="I1448" s="25"/>
    </row>
    <row r="1449" spans="7:9" x14ac:dyDescent="0.2">
      <c r="G1449" s="23"/>
      <c r="H1449" s="24"/>
      <c r="I1449" s="25"/>
    </row>
    <row r="1450" spans="7:9" x14ac:dyDescent="0.2">
      <c r="G1450" s="23"/>
      <c r="H1450" s="24"/>
      <c r="I1450" s="25"/>
    </row>
    <row r="1451" spans="7:9" x14ac:dyDescent="0.2">
      <c r="G1451" s="23"/>
      <c r="H1451" s="24"/>
      <c r="I1451" s="25"/>
    </row>
    <row r="1452" spans="7:9" x14ac:dyDescent="0.2">
      <c r="G1452" s="23"/>
      <c r="H1452" s="24"/>
      <c r="I1452" s="25"/>
    </row>
    <row r="1453" spans="7:9" x14ac:dyDescent="0.2">
      <c r="G1453" s="23"/>
      <c r="H1453" s="24"/>
      <c r="I1453" s="25"/>
    </row>
    <row r="1454" spans="7:9" x14ac:dyDescent="0.2">
      <c r="G1454" s="23"/>
      <c r="H1454" s="24"/>
      <c r="I1454" s="25"/>
    </row>
    <row r="1455" spans="7:9" x14ac:dyDescent="0.2">
      <c r="G1455" s="23"/>
      <c r="H1455" s="24"/>
      <c r="I1455" s="25"/>
    </row>
    <row r="1456" spans="7:9" x14ac:dyDescent="0.2">
      <c r="G1456" s="23"/>
      <c r="H1456" s="24"/>
      <c r="I1456" s="25"/>
    </row>
    <row r="1457" spans="7:9" x14ac:dyDescent="0.2">
      <c r="G1457" s="23"/>
      <c r="H1457" s="24"/>
      <c r="I1457" s="25"/>
    </row>
    <row r="1458" spans="7:9" x14ac:dyDescent="0.2">
      <c r="G1458" s="23"/>
      <c r="H1458" s="24"/>
      <c r="I1458" s="25"/>
    </row>
    <row r="1459" spans="7:9" x14ac:dyDescent="0.2">
      <c r="G1459" s="23"/>
      <c r="H1459" s="24"/>
      <c r="I1459" s="25"/>
    </row>
    <row r="1460" spans="7:9" x14ac:dyDescent="0.2">
      <c r="G1460" s="23"/>
      <c r="H1460" s="24"/>
      <c r="I1460" s="25"/>
    </row>
    <row r="1461" spans="7:9" x14ac:dyDescent="0.2">
      <c r="G1461" s="23"/>
      <c r="H1461" s="24"/>
      <c r="I1461" s="25"/>
    </row>
    <row r="1462" spans="7:9" x14ac:dyDescent="0.2">
      <c r="G1462" s="23"/>
      <c r="H1462" s="24"/>
      <c r="I1462" s="25"/>
    </row>
    <row r="1463" spans="7:9" x14ac:dyDescent="0.2">
      <c r="G1463" s="23"/>
      <c r="H1463" s="24"/>
      <c r="I1463" s="25"/>
    </row>
    <row r="1464" spans="7:9" x14ac:dyDescent="0.2">
      <c r="G1464" s="23"/>
      <c r="H1464" s="24"/>
      <c r="I1464" s="25"/>
    </row>
    <row r="1465" spans="7:9" x14ac:dyDescent="0.2">
      <c r="G1465" s="23"/>
      <c r="H1465" s="24"/>
      <c r="I1465" s="25"/>
    </row>
    <row r="1466" spans="7:9" x14ac:dyDescent="0.2">
      <c r="G1466" s="23"/>
      <c r="H1466" s="24"/>
      <c r="I1466" s="25"/>
    </row>
    <row r="1467" spans="7:9" x14ac:dyDescent="0.2">
      <c r="G1467" s="23"/>
      <c r="H1467" s="24"/>
      <c r="I1467" s="25"/>
    </row>
    <row r="1468" spans="7:9" x14ac:dyDescent="0.2">
      <c r="G1468" s="23"/>
      <c r="H1468" s="24"/>
      <c r="I1468" s="25"/>
    </row>
    <row r="1469" spans="7:9" x14ac:dyDescent="0.2">
      <c r="G1469" s="23"/>
      <c r="H1469" s="24"/>
      <c r="I1469" s="25"/>
    </row>
    <row r="1470" spans="7:9" x14ac:dyDescent="0.2">
      <c r="G1470" s="23"/>
      <c r="H1470" s="24"/>
      <c r="I1470" s="25"/>
    </row>
    <row r="1471" spans="7:9" x14ac:dyDescent="0.2">
      <c r="G1471" s="23"/>
      <c r="H1471" s="24"/>
      <c r="I1471" s="25"/>
    </row>
    <row r="1472" spans="7:9" x14ac:dyDescent="0.2">
      <c r="G1472" s="23"/>
      <c r="H1472" s="24"/>
      <c r="I1472" s="25"/>
    </row>
    <row r="1473" spans="7:9" x14ac:dyDescent="0.2">
      <c r="G1473" s="23"/>
      <c r="H1473" s="24"/>
      <c r="I1473" s="25"/>
    </row>
    <row r="1474" spans="7:9" x14ac:dyDescent="0.2">
      <c r="G1474" s="23"/>
      <c r="H1474" s="24"/>
      <c r="I1474" s="25"/>
    </row>
    <row r="1475" spans="7:9" x14ac:dyDescent="0.2">
      <c r="G1475" s="23"/>
      <c r="H1475" s="24"/>
      <c r="I1475" s="25"/>
    </row>
    <row r="1476" spans="7:9" x14ac:dyDescent="0.2">
      <c r="G1476" s="23"/>
      <c r="H1476" s="24"/>
      <c r="I1476" s="25"/>
    </row>
    <row r="1477" spans="7:9" x14ac:dyDescent="0.2">
      <c r="G1477" s="23"/>
      <c r="H1477" s="24"/>
      <c r="I1477" s="25"/>
    </row>
    <row r="1478" spans="7:9" x14ac:dyDescent="0.2">
      <c r="G1478" s="23"/>
      <c r="H1478" s="24"/>
      <c r="I1478" s="25"/>
    </row>
    <row r="1479" spans="7:9" x14ac:dyDescent="0.2">
      <c r="G1479" s="23"/>
      <c r="H1479" s="24"/>
      <c r="I1479" s="25"/>
    </row>
    <row r="1480" spans="7:9" x14ac:dyDescent="0.2">
      <c r="G1480" s="23"/>
      <c r="H1480" s="24"/>
      <c r="I1480" s="25"/>
    </row>
    <row r="1481" spans="7:9" x14ac:dyDescent="0.2">
      <c r="G1481" s="23"/>
      <c r="H1481" s="24"/>
      <c r="I1481" s="25"/>
    </row>
    <row r="1482" spans="7:9" x14ac:dyDescent="0.2">
      <c r="G1482" s="23"/>
      <c r="H1482" s="24"/>
      <c r="I1482" s="25"/>
    </row>
    <row r="1483" spans="7:9" x14ac:dyDescent="0.2">
      <c r="G1483" s="23"/>
      <c r="H1483" s="24"/>
      <c r="I1483" s="25"/>
    </row>
    <row r="1484" spans="7:9" x14ac:dyDescent="0.2">
      <c r="G1484" s="23"/>
      <c r="H1484" s="24"/>
      <c r="I1484" s="25"/>
    </row>
    <row r="1485" spans="7:9" x14ac:dyDescent="0.2">
      <c r="G1485" s="23"/>
      <c r="H1485" s="24"/>
      <c r="I1485" s="25"/>
    </row>
    <row r="1486" spans="7:9" x14ac:dyDescent="0.2">
      <c r="G1486" s="23"/>
      <c r="H1486" s="24"/>
      <c r="I1486" s="25"/>
    </row>
    <row r="1487" spans="7:9" x14ac:dyDescent="0.2">
      <c r="G1487" s="23"/>
      <c r="H1487" s="24"/>
      <c r="I1487" s="25"/>
    </row>
    <row r="1488" spans="7:9" x14ac:dyDescent="0.2">
      <c r="G1488" s="23"/>
      <c r="H1488" s="24"/>
      <c r="I1488" s="25"/>
    </row>
    <row r="1489" spans="7:9" x14ac:dyDescent="0.2">
      <c r="G1489" s="23"/>
      <c r="H1489" s="24"/>
      <c r="I1489" s="25"/>
    </row>
    <row r="1490" spans="7:9" x14ac:dyDescent="0.2">
      <c r="G1490" s="23"/>
      <c r="H1490" s="24"/>
      <c r="I1490" s="25"/>
    </row>
    <row r="1491" spans="7:9" x14ac:dyDescent="0.2">
      <c r="G1491" s="23"/>
      <c r="H1491" s="24"/>
      <c r="I1491" s="25"/>
    </row>
    <row r="1492" spans="7:9" x14ac:dyDescent="0.2">
      <c r="G1492" s="23"/>
      <c r="H1492" s="24"/>
      <c r="I1492" s="25"/>
    </row>
    <row r="1493" spans="7:9" x14ac:dyDescent="0.2">
      <c r="G1493" s="23"/>
      <c r="H1493" s="24"/>
      <c r="I1493" s="25"/>
    </row>
    <row r="1494" spans="7:9" x14ac:dyDescent="0.2">
      <c r="G1494" s="23"/>
      <c r="H1494" s="24"/>
      <c r="I1494" s="25"/>
    </row>
    <row r="1495" spans="7:9" x14ac:dyDescent="0.2">
      <c r="G1495" s="23"/>
      <c r="H1495" s="24"/>
      <c r="I1495" s="25"/>
    </row>
    <row r="1496" spans="7:9" x14ac:dyDescent="0.2">
      <c r="G1496" s="23"/>
      <c r="H1496" s="24"/>
      <c r="I1496" s="25"/>
    </row>
    <row r="1497" spans="7:9" x14ac:dyDescent="0.2">
      <c r="G1497" s="23"/>
      <c r="H1497" s="24"/>
      <c r="I1497" s="25"/>
    </row>
    <row r="1498" spans="7:9" x14ac:dyDescent="0.2">
      <c r="G1498" s="23"/>
      <c r="H1498" s="24"/>
      <c r="I1498" s="25"/>
    </row>
    <row r="1499" spans="7:9" x14ac:dyDescent="0.2">
      <c r="G1499" s="23"/>
      <c r="H1499" s="24"/>
      <c r="I1499" s="25"/>
    </row>
    <row r="1500" spans="7:9" x14ac:dyDescent="0.2">
      <c r="G1500" s="23"/>
      <c r="H1500" s="24"/>
      <c r="I1500" s="25"/>
    </row>
    <row r="1501" spans="7:9" x14ac:dyDescent="0.2">
      <c r="G1501" s="23"/>
      <c r="H1501" s="24"/>
      <c r="I1501" s="25"/>
    </row>
    <row r="1502" spans="7:9" x14ac:dyDescent="0.2">
      <c r="G1502" s="23"/>
      <c r="H1502" s="24"/>
      <c r="I1502" s="25"/>
    </row>
    <row r="1503" spans="7:9" x14ac:dyDescent="0.2">
      <c r="G1503" s="23"/>
      <c r="H1503" s="24"/>
      <c r="I1503" s="25"/>
    </row>
    <row r="1504" spans="7:9" x14ac:dyDescent="0.2">
      <c r="G1504" s="23"/>
      <c r="H1504" s="24"/>
      <c r="I1504" s="25"/>
    </row>
    <row r="1505" spans="7:9" x14ac:dyDescent="0.2">
      <c r="G1505" s="23"/>
      <c r="H1505" s="24"/>
      <c r="I1505" s="25"/>
    </row>
    <row r="1506" spans="7:9" x14ac:dyDescent="0.2">
      <c r="G1506" s="23"/>
      <c r="H1506" s="24"/>
      <c r="I1506" s="25"/>
    </row>
    <row r="1507" spans="7:9" x14ac:dyDescent="0.2">
      <c r="G1507" s="23"/>
      <c r="H1507" s="24"/>
      <c r="I1507" s="25"/>
    </row>
    <row r="1508" spans="7:9" x14ac:dyDescent="0.2">
      <c r="G1508" s="23"/>
      <c r="H1508" s="24"/>
      <c r="I1508" s="25"/>
    </row>
    <row r="1509" spans="7:9" x14ac:dyDescent="0.2">
      <c r="G1509" s="23"/>
      <c r="H1509" s="24"/>
      <c r="I1509" s="25"/>
    </row>
    <row r="1510" spans="7:9" x14ac:dyDescent="0.2">
      <c r="G1510" s="23"/>
      <c r="H1510" s="24"/>
      <c r="I1510" s="25"/>
    </row>
    <row r="1511" spans="7:9" x14ac:dyDescent="0.2">
      <c r="G1511" s="23"/>
      <c r="H1511" s="24"/>
      <c r="I1511" s="25"/>
    </row>
    <row r="1512" spans="7:9" x14ac:dyDescent="0.2">
      <c r="G1512" s="23"/>
      <c r="H1512" s="24"/>
      <c r="I1512" s="25"/>
    </row>
    <row r="1513" spans="7:9" x14ac:dyDescent="0.2">
      <c r="G1513" s="23"/>
      <c r="H1513" s="24"/>
      <c r="I1513" s="25"/>
    </row>
    <row r="1514" spans="7:9" x14ac:dyDescent="0.2">
      <c r="G1514" s="23"/>
      <c r="H1514" s="24"/>
      <c r="I1514" s="25"/>
    </row>
    <row r="1515" spans="7:9" x14ac:dyDescent="0.2">
      <c r="G1515" s="23"/>
      <c r="H1515" s="24"/>
      <c r="I1515" s="25"/>
    </row>
    <row r="1516" spans="7:9" x14ac:dyDescent="0.2">
      <c r="G1516" s="23"/>
      <c r="H1516" s="24"/>
      <c r="I1516" s="25"/>
    </row>
    <row r="1517" spans="7:9" x14ac:dyDescent="0.2">
      <c r="G1517" s="23"/>
      <c r="H1517" s="24"/>
      <c r="I1517" s="25"/>
    </row>
    <row r="1518" spans="7:9" x14ac:dyDescent="0.2">
      <c r="G1518" s="23"/>
      <c r="H1518" s="24"/>
      <c r="I1518" s="25"/>
    </row>
    <row r="1519" spans="7:9" x14ac:dyDescent="0.2">
      <c r="G1519" s="23"/>
      <c r="H1519" s="24"/>
      <c r="I1519" s="25"/>
    </row>
    <row r="1520" spans="7:9" x14ac:dyDescent="0.2">
      <c r="G1520" s="23"/>
      <c r="H1520" s="24"/>
      <c r="I1520" s="25"/>
    </row>
    <row r="1521" spans="7:9" x14ac:dyDescent="0.2">
      <c r="G1521" s="23"/>
      <c r="H1521" s="24"/>
      <c r="I1521" s="25"/>
    </row>
    <row r="1522" spans="7:9" x14ac:dyDescent="0.2">
      <c r="G1522" s="23"/>
      <c r="H1522" s="24"/>
      <c r="I1522" s="25"/>
    </row>
    <row r="1523" spans="7:9" x14ac:dyDescent="0.2">
      <c r="G1523" s="23"/>
      <c r="H1523" s="24"/>
      <c r="I1523" s="25"/>
    </row>
    <row r="1524" spans="7:9" x14ac:dyDescent="0.2">
      <c r="G1524" s="23"/>
      <c r="H1524" s="24"/>
      <c r="I1524" s="25"/>
    </row>
    <row r="1525" spans="7:9" x14ac:dyDescent="0.2">
      <c r="G1525" s="23"/>
      <c r="H1525" s="24"/>
      <c r="I1525" s="25"/>
    </row>
    <row r="1526" spans="7:9" x14ac:dyDescent="0.2">
      <c r="G1526" s="23"/>
      <c r="H1526" s="24"/>
      <c r="I1526" s="25"/>
    </row>
    <row r="1527" spans="7:9" x14ac:dyDescent="0.2">
      <c r="G1527" s="23"/>
      <c r="H1527" s="24"/>
      <c r="I1527" s="25"/>
    </row>
    <row r="1528" spans="7:9" x14ac:dyDescent="0.2">
      <c r="G1528" s="23"/>
      <c r="H1528" s="24"/>
      <c r="I1528" s="25"/>
    </row>
    <row r="1529" spans="7:9" x14ac:dyDescent="0.2">
      <c r="G1529" s="23"/>
      <c r="H1529" s="24"/>
      <c r="I1529" s="25"/>
    </row>
    <row r="1530" spans="7:9" x14ac:dyDescent="0.2">
      <c r="G1530" s="23"/>
      <c r="H1530" s="24"/>
      <c r="I1530" s="25"/>
    </row>
    <row r="1531" spans="7:9" x14ac:dyDescent="0.2">
      <c r="G1531" s="23"/>
      <c r="H1531" s="24"/>
      <c r="I1531" s="25"/>
    </row>
    <row r="1532" spans="7:9" x14ac:dyDescent="0.2">
      <c r="G1532" s="23"/>
      <c r="H1532" s="24"/>
      <c r="I1532" s="25"/>
    </row>
    <row r="1533" spans="7:9" x14ac:dyDescent="0.2">
      <c r="G1533" s="23"/>
      <c r="H1533" s="24"/>
      <c r="I1533" s="25"/>
    </row>
    <row r="1534" spans="7:9" x14ac:dyDescent="0.2">
      <c r="G1534" s="23"/>
      <c r="H1534" s="24"/>
      <c r="I1534" s="25"/>
    </row>
    <row r="1535" spans="7:9" x14ac:dyDescent="0.2">
      <c r="G1535" s="23"/>
      <c r="H1535" s="24"/>
      <c r="I1535" s="25"/>
    </row>
    <row r="1536" spans="7:9" x14ac:dyDescent="0.2">
      <c r="G1536" s="23"/>
      <c r="H1536" s="24"/>
      <c r="I1536" s="25"/>
    </row>
    <row r="1537" spans="7:9" x14ac:dyDescent="0.2">
      <c r="G1537" s="23"/>
      <c r="H1537" s="24"/>
      <c r="I1537" s="25"/>
    </row>
    <row r="1538" spans="7:9" x14ac:dyDescent="0.2">
      <c r="G1538" s="23"/>
      <c r="H1538" s="24"/>
      <c r="I1538" s="25"/>
    </row>
    <row r="1539" spans="7:9" x14ac:dyDescent="0.2">
      <c r="G1539" s="23"/>
      <c r="H1539" s="24"/>
      <c r="I1539" s="25"/>
    </row>
    <row r="1540" spans="7:9" x14ac:dyDescent="0.2">
      <c r="G1540" s="23"/>
      <c r="H1540" s="24"/>
      <c r="I1540" s="25"/>
    </row>
    <row r="1541" spans="7:9" x14ac:dyDescent="0.2">
      <c r="G1541" s="23"/>
      <c r="H1541" s="24"/>
      <c r="I1541" s="25"/>
    </row>
    <row r="1542" spans="7:9" x14ac:dyDescent="0.2">
      <c r="G1542" s="23"/>
      <c r="H1542" s="24"/>
      <c r="I1542" s="25"/>
    </row>
    <row r="1543" spans="7:9" x14ac:dyDescent="0.2">
      <c r="G1543" s="23"/>
      <c r="H1543" s="24"/>
      <c r="I1543" s="25"/>
    </row>
    <row r="1544" spans="7:9" x14ac:dyDescent="0.2">
      <c r="G1544" s="23"/>
      <c r="H1544" s="24"/>
      <c r="I1544" s="25"/>
    </row>
    <row r="1545" spans="7:9" x14ac:dyDescent="0.2">
      <c r="G1545" s="23"/>
      <c r="H1545" s="24"/>
      <c r="I1545" s="25"/>
    </row>
    <row r="1546" spans="7:9" x14ac:dyDescent="0.2">
      <c r="G1546" s="23"/>
      <c r="H1546" s="24"/>
      <c r="I1546" s="25"/>
    </row>
    <row r="1547" spans="7:9" x14ac:dyDescent="0.2">
      <c r="G1547" s="23"/>
      <c r="H1547" s="24"/>
      <c r="I1547" s="25"/>
    </row>
    <row r="1548" spans="7:9" x14ac:dyDescent="0.2">
      <c r="G1548" s="23"/>
      <c r="H1548" s="24"/>
      <c r="I1548" s="25"/>
    </row>
    <row r="1549" spans="7:9" x14ac:dyDescent="0.2">
      <c r="G1549" s="23"/>
      <c r="H1549" s="24"/>
      <c r="I1549" s="25"/>
    </row>
    <row r="1550" spans="7:9" x14ac:dyDescent="0.2">
      <c r="G1550" s="23"/>
      <c r="H1550" s="24"/>
      <c r="I1550" s="25"/>
    </row>
    <row r="1551" spans="7:9" x14ac:dyDescent="0.2">
      <c r="G1551" s="23"/>
      <c r="H1551" s="24"/>
      <c r="I1551" s="25"/>
    </row>
    <row r="1552" spans="7:9" x14ac:dyDescent="0.2">
      <c r="G1552" s="23"/>
      <c r="H1552" s="24"/>
      <c r="I1552" s="25"/>
    </row>
    <row r="1553" spans="7:9" x14ac:dyDescent="0.2">
      <c r="G1553" s="23"/>
      <c r="H1553" s="24"/>
      <c r="I1553" s="25"/>
    </row>
    <row r="1554" spans="7:9" x14ac:dyDescent="0.2">
      <c r="G1554" s="23"/>
      <c r="H1554" s="24"/>
      <c r="I1554" s="25"/>
    </row>
    <row r="1555" spans="7:9" x14ac:dyDescent="0.2">
      <c r="G1555" s="23"/>
      <c r="H1555" s="24"/>
      <c r="I1555" s="25"/>
    </row>
    <row r="1556" spans="7:9" x14ac:dyDescent="0.2">
      <c r="G1556" s="23"/>
      <c r="H1556" s="24"/>
      <c r="I1556" s="25"/>
    </row>
    <row r="1557" spans="7:9" x14ac:dyDescent="0.2">
      <c r="G1557" s="23"/>
      <c r="H1557" s="24"/>
      <c r="I1557" s="25"/>
    </row>
    <row r="1558" spans="7:9" x14ac:dyDescent="0.2">
      <c r="G1558" s="23"/>
      <c r="H1558" s="24"/>
      <c r="I1558" s="25"/>
    </row>
    <row r="1559" spans="7:9" x14ac:dyDescent="0.2">
      <c r="G1559" s="23"/>
      <c r="H1559" s="24"/>
      <c r="I1559" s="25"/>
    </row>
    <row r="1560" spans="7:9" x14ac:dyDescent="0.2">
      <c r="G1560" s="23"/>
      <c r="H1560" s="24"/>
      <c r="I1560" s="25"/>
    </row>
    <row r="1561" spans="7:9" x14ac:dyDescent="0.2">
      <c r="G1561" s="23"/>
      <c r="H1561" s="24"/>
      <c r="I1561" s="25"/>
    </row>
    <row r="1562" spans="7:9" x14ac:dyDescent="0.2">
      <c r="G1562" s="23"/>
      <c r="H1562" s="24"/>
      <c r="I1562" s="25"/>
    </row>
    <row r="1563" spans="7:9" x14ac:dyDescent="0.2">
      <c r="G1563" s="23"/>
      <c r="H1563" s="24"/>
      <c r="I1563" s="25"/>
    </row>
    <row r="1564" spans="7:9" x14ac:dyDescent="0.2">
      <c r="G1564" s="23"/>
      <c r="H1564" s="24"/>
      <c r="I1564" s="25"/>
    </row>
    <row r="1565" spans="7:9" x14ac:dyDescent="0.2">
      <c r="G1565" s="23"/>
      <c r="H1565" s="24"/>
      <c r="I1565" s="25"/>
    </row>
    <row r="1566" spans="7:9" x14ac:dyDescent="0.2">
      <c r="G1566" s="23"/>
      <c r="H1566" s="24"/>
      <c r="I1566" s="25"/>
    </row>
    <row r="1567" spans="7:9" x14ac:dyDescent="0.2">
      <c r="G1567" s="23"/>
      <c r="H1567" s="24"/>
      <c r="I1567" s="25"/>
    </row>
    <row r="1568" spans="7:9" x14ac:dyDescent="0.2">
      <c r="G1568" s="23"/>
      <c r="H1568" s="24"/>
      <c r="I1568" s="25"/>
    </row>
    <row r="1569" spans="7:9" x14ac:dyDescent="0.2">
      <c r="G1569" s="23"/>
      <c r="H1569" s="24"/>
      <c r="I1569" s="25"/>
    </row>
    <row r="1570" spans="7:9" x14ac:dyDescent="0.2">
      <c r="G1570" s="23"/>
      <c r="H1570" s="24"/>
      <c r="I1570" s="25"/>
    </row>
    <row r="1571" spans="7:9" x14ac:dyDescent="0.2">
      <c r="G1571" s="23"/>
      <c r="H1571" s="24"/>
      <c r="I1571" s="25"/>
    </row>
    <row r="1572" spans="7:9" x14ac:dyDescent="0.2">
      <c r="G1572" s="23"/>
      <c r="H1572" s="24"/>
      <c r="I1572" s="25"/>
    </row>
    <row r="1573" spans="7:9" x14ac:dyDescent="0.2">
      <c r="G1573" s="23"/>
      <c r="H1573" s="24"/>
      <c r="I1573" s="25"/>
    </row>
    <row r="1574" spans="7:9" x14ac:dyDescent="0.2">
      <c r="G1574" s="23"/>
      <c r="H1574" s="24"/>
      <c r="I1574" s="25"/>
    </row>
    <row r="1575" spans="7:9" x14ac:dyDescent="0.2">
      <c r="G1575" s="23"/>
      <c r="H1575" s="24"/>
      <c r="I1575" s="25"/>
    </row>
    <row r="1576" spans="7:9" x14ac:dyDescent="0.2">
      <c r="G1576" s="23"/>
      <c r="H1576" s="24"/>
      <c r="I1576" s="25"/>
    </row>
    <row r="1577" spans="7:9" x14ac:dyDescent="0.2">
      <c r="G1577" s="23"/>
      <c r="H1577" s="24"/>
      <c r="I1577" s="25"/>
    </row>
    <row r="1578" spans="7:9" x14ac:dyDescent="0.2">
      <c r="G1578" s="23"/>
      <c r="H1578" s="24"/>
      <c r="I1578" s="25"/>
    </row>
    <row r="1579" spans="7:9" x14ac:dyDescent="0.2">
      <c r="G1579" s="23"/>
      <c r="H1579" s="24"/>
      <c r="I1579" s="25"/>
    </row>
    <row r="1580" spans="7:9" x14ac:dyDescent="0.2">
      <c r="G1580" s="23"/>
      <c r="H1580" s="24"/>
      <c r="I1580" s="25"/>
    </row>
    <row r="1581" spans="7:9" x14ac:dyDescent="0.2">
      <c r="G1581" s="23"/>
      <c r="H1581" s="24"/>
      <c r="I1581" s="25"/>
    </row>
    <row r="1582" spans="7:9" x14ac:dyDescent="0.2">
      <c r="G1582" s="23"/>
      <c r="H1582" s="24"/>
      <c r="I1582" s="25"/>
    </row>
    <row r="1583" spans="7:9" x14ac:dyDescent="0.2">
      <c r="G1583" s="23"/>
      <c r="H1583" s="24"/>
      <c r="I1583" s="25"/>
    </row>
    <row r="1584" spans="7:9" x14ac:dyDescent="0.2">
      <c r="G1584" s="23"/>
      <c r="H1584" s="24"/>
      <c r="I1584" s="25"/>
    </row>
    <row r="1585" spans="7:9" x14ac:dyDescent="0.2">
      <c r="G1585" s="23"/>
      <c r="H1585" s="24"/>
      <c r="I1585" s="25"/>
    </row>
    <row r="1586" spans="7:9" x14ac:dyDescent="0.2">
      <c r="G1586" s="23"/>
      <c r="H1586" s="24"/>
      <c r="I1586" s="25"/>
    </row>
    <row r="1587" spans="7:9" x14ac:dyDescent="0.2">
      <c r="G1587" s="23"/>
      <c r="H1587" s="24"/>
      <c r="I1587" s="25"/>
    </row>
    <row r="1588" spans="7:9" x14ac:dyDescent="0.2">
      <c r="G1588" s="23"/>
      <c r="H1588" s="24"/>
      <c r="I1588" s="25"/>
    </row>
    <row r="1589" spans="7:9" x14ac:dyDescent="0.2">
      <c r="G1589" s="23"/>
      <c r="H1589" s="24"/>
      <c r="I1589" s="25"/>
    </row>
    <row r="1590" spans="7:9" x14ac:dyDescent="0.2">
      <c r="G1590" s="23"/>
      <c r="H1590" s="24"/>
      <c r="I1590" s="25"/>
    </row>
    <row r="1591" spans="7:9" x14ac:dyDescent="0.2">
      <c r="G1591" s="23"/>
      <c r="H1591" s="24"/>
      <c r="I1591" s="25"/>
    </row>
    <row r="1592" spans="7:9" x14ac:dyDescent="0.2">
      <c r="G1592" s="23"/>
      <c r="H1592" s="24"/>
      <c r="I1592" s="25"/>
    </row>
    <row r="1593" spans="7:9" x14ac:dyDescent="0.2">
      <c r="G1593" s="23"/>
      <c r="H1593" s="24"/>
      <c r="I1593" s="25"/>
    </row>
    <row r="1594" spans="7:9" x14ac:dyDescent="0.2">
      <c r="G1594" s="23"/>
      <c r="H1594" s="24"/>
      <c r="I1594" s="25"/>
    </row>
    <row r="1595" spans="7:9" x14ac:dyDescent="0.2">
      <c r="G1595" s="23"/>
      <c r="H1595" s="24"/>
      <c r="I1595" s="25"/>
    </row>
    <row r="1596" spans="7:9" x14ac:dyDescent="0.2">
      <c r="G1596" s="23"/>
      <c r="H1596" s="24"/>
      <c r="I1596" s="25"/>
    </row>
    <row r="1597" spans="7:9" x14ac:dyDescent="0.2">
      <c r="G1597" s="23"/>
      <c r="H1597" s="24"/>
      <c r="I1597" s="25"/>
    </row>
    <row r="1598" spans="7:9" x14ac:dyDescent="0.2">
      <c r="G1598" s="23"/>
      <c r="H1598" s="24"/>
      <c r="I1598" s="25"/>
    </row>
    <row r="1599" spans="7:9" x14ac:dyDescent="0.2">
      <c r="G1599" s="23"/>
      <c r="H1599" s="24"/>
      <c r="I1599" s="25"/>
    </row>
    <row r="1600" spans="7:9" x14ac:dyDescent="0.2">
      <c r="G1600" s="23"/>
      <c r="H1600" s="24"/>
      <c r="I1600" s="25"/>
    </row>
    <row r="1601" spans="7:9" x14ac:dyDescent="0.2">
      <c r="G1601" s="23"/>
      <c r="H1601" s="24"/>
      <c r="I1601" s="25"/>
    </row>
    <row r="1602" spans="7:9" x14ac:dyDescent="0.2">
      <c r="G1602" s="23"/>
      <c r="H1602" s="24"/>
      <c r="I1602" s="25"/>
    </row>
    <row r="1603" spans="7:9" x14ac:dyDescent="0.2">
      <c r="G1603" s="23"/>
      <c r="H1603" s="24"/>
      <c r="I1603" s="25"/>
    </row>
    <row r="1604" spans="7:9" x14ac:dyDescent="0.2">
      <c r="G1604" s="23"/>
      <c r="H1604" s="24"/>
      <c r="I1604" s="25"/>
    </row>
    <row r="1605" spans="7:9" x14ac:dyDescent="0.2">
      <c r="G1605" s="23"/>
      <c r="H1605" s="24"/>
      <c r="I1605" s="25"/>
    </row>
    <row r="1606" spans="7:9" x14ac:dyDescent="0.2">
      <c r="G1606" s="23"/>
      <c r="H1606" s="24"/>
      <c r="I1606" s="25"/>
    </row>
    <row r="1607" spans="7:9" x14ac:dyDescent="0.2">
      <c r="G1607" s="23"/>
      <c r="H1607" s="24"/>
      <c r="I1607" s="25"/>
    </row>
    <row r="1608" spans="7:9" x14ac:dyDescent="0.2">
      <c r="G1608" s="23"/>
      <c r="H1608" s="24"/>
      <c r="I1608" s="25"/>
    </row>
    <row r="1609" spans="7:9" x14ac:dyDescent="0.2">
      <c r="G1609" s="23"/>
      <c r="H1609" s="24"/>
      <c r="I1609" s="25"/>
    </row>
    <row r="1610" spans="7:9" x14ac:dyDescent="0.2">
      <c r="G1610" s="23"/>
      <c r="H1610" s="24"/>
      <c r="I1610" s="25"/>
    </row>
    <row r="1611" spans="7:9" x14ac:dyDescent="0.2">
      <c r="G1611" s="23"/>
      <c r="H1611" s="24"/>
      <c r="I1611" s="25"/>
    </row>
    <row r="1612" spans="7:9" x14ac:dyDescent="0.2">
      <c r="G1612" s="23"/>
      <c r="H1612" s="24"/>
      <c r="I1612" s="25"/>
    </row>
    <row r="1613" spans="7:9" x14ac:dyDescent="0.2">
      <c r="G1613" s="23"/>
      <c r="H1613" s="24"/>
      <c r="I1613" s="25"/>
    </row>
    <row r="1614" spans="7:9" x14ac:dyDescent="0.2">
      <c r="G1614" s="23"/>
      <c r="H1614" s="24"/>
      <c r="I1614" s="25"/>
    </row>
    <row r="1615" spans="7:9" x14ac:dyDescent="0.2">
      <c r="G1615" s="23"/>
      <c r="H1615" s="24"/>
      <c r="I1615" s="25"/>
    </row>
    <row r="1616" spans="7:9" x14ac:dyDescent="0.2">
      <c r="G1616" s="23"/>
      <c r="H1616" s="24"/>
      <c r="I1616" s="25"/>
    </row>
    <row r="1617" spans="7:9" x14ac:dyDescent="0.2">
      <c r="G1617" s="23"/>
      <c r="H1617" s="24"/>
      <c r="I1617" s="25"/>
    </row>
    <row r="1618" spans="7:9" x14ac:dyDescent="0.2">
      <c r="G1618" s="23"/>
      <c r="H1618" s="24"/>
      <c r="I1618" s="25"/>
    </row>
    <row r="1619" spans="7:9" x14ac:dyDescent="0.2">
      <c r="G1619" s="23"/>
      <c r="H1619" s="24"/>
      <c r="I1619" s="25"/>
    </row>
    <row r="1620" spans="7:9" x14ac:dyDescent="0.2">
      <c r="G1620" s="23"/>
      <c r="H1620" s="24"/>
      <c r="I1620" s="25"/>
    </row>
    <row r="1621" spans="7:9" x14ac:dyDescent="0.2">
      <c r="G1621" s="23"/>
      <c r="H1621" s="24"/>
      <c r="I1621" s="25"/>
    </row>
    <row r="1622" spans="7:9" x14ac:dyDescent="0.2">
      <c r="G1622" s="23"/>
      <c r="H1622" s="24"/>
      <c r="I1622" s="25"/>
    </row>
    <row r="1623" spans="7:9" x14ac:dyDescent="0.2">
      <c r="G1623" s="23"/>
      <c r="H1623" s="24"/>
      <c r="I1623" s="25"/>
    </row>
    <row r="1624" spans="7:9" x14ac:dyDescent="0.2">
      <c r="G1624" s="23"/>
      <c r="H1624" s="24"/>
      <c r="I1624" s="25"/>
    </row>
    <row r="1625" spans="7:9" x14ac:dyDescent="0.2">
      <c r="G1625" s="23"/>
      <c r="H1625" s="24"/>
      <c r="I1625" s="25"/>
    </row>
    <row r="1626" spans="7:9" x14ac:dyDescent="0.2">
      <c r="G1626" s="23"/>
      <c r="H1626" s="24"/>
      <c r="I1626" s="25"/>
    </row>
    <row r="1627" spans="7:9" x14ac:dyDescent="0.2">
      <c r="G1627" s="23"/>
      <c r="H1627" s="24"/>
      <c r="I1627" s="25"/>
    </row>
    <row r="1628" spans="7:9" x14ac:dyDescent="0.2">
      <c r="G1628" s="23"/>
      <c r="H1628" s="24"/>
      <c r="I1628" s="25"/>
    </row>
    <row r="1629" spans="7:9" x14ac:dyDescent="0.2">
      <c r="G1629" s="23"/>
      <c r="H1629" s="24"/>
      <c r="I1629" s="25"/>
    </row>
    <row r="1630" spans="7:9" x14ac:dyDescent="0.2">
      <c r="G1630" s="23"/>
      <c r="H1630" s="24"/>
      <c r="I1630" s="25"/>
    </row>
    <row r="1631" spans="7:9" x14ac:dyDescent="0.2">
      <c r="G1631" s="23"/>
      <c r="H1631" s="24"/>
      <c r="I1631" s="25"/>
    </row>
    <row r="1632" spans="7:9" x14ac:dyDescent="0.2">
      <c r="G1632" s="23"/>
      <c r="H1632" s="24"/>
      <c r="I1632" s="25"/>
    </row>
    <row r="1633" spans="7:9" x14ac:dyDescent="0.2">
      <c r="G1633" s="23"/>
      <c r="H1633" s="24"/>
      <c r="I1633" s="25"/>
    </row>
    <row r="1634" spans="7:9" x14ac:dyDescent="0.2">
      <c r="G1634" s="23"/>
      <c r="H1634" s="24"/>
      <c r="I1634" s="25"/>
    </row>
    <row r="1635" spans="7:9" x14ac:dyDescent="0.2">
      <c r="G1635" s="23"/>
      <c r="H1635" s="24"/>
      <c r="I1635" s="25"/>
    </row>
    <row r="1636" spans="7:9" x14ac:dyDescent="0.2">
      <c r="G1636" s="23"/>
      <c r="H1636" s="24"/>
      <c r="I1636" s="25"/>
    </row>
    <row r="1637" spans="7:9" x14ac:dyDescent="0.2">
      <c r="G1637" s="23"/>
      <c r="H1637" s="24"/>
      <c r="I1637" s="25"/>
    </row>
    <row r="1638" spans="7:9" x14ac:dyDescent="0.2">
      <c r="G1638" s="23"/>
      <c r="H1638" s="24"/>
      <c r="I1638" s="25"/>
    </row>
    <row r="1639" spans="7:9" x14ac:dyDescent="0.2">
      <c r="G1639" s="23"/>
      <c r="H1639" s="24"/>
      <c r="I1639" s="25"/>
    </row>
    <row r="1640" spans="7:9" x14ac:dyDescent="0.2">
      <c r="G1640" s="23"/>
      <c r="H1640" s="24"/>
      <c r="I1640" s="25"/>
    </row>
    <row r="1641" spans="7:9" x14ac:dyDescent="0.2">
      <c r="G1641" s="23"/>
      <c r="H1641" s="24"/>
      <c r="I1641" s="25"/>
    </row>
    <row r="1642" spans="7:9" x14ac:dyDescent="0.2">
      <c r="G1642" s="23"/>
      <c r="H1642" s="24"/>
      <c r="I1642" s="25"/>
    </row>
    <row r="1643" spans="7:9" x14ac:dyDescent="0.2">
      <c r="G1643" s="23"/>
      <c r="H1643" s="24"/>
      <c r="I1643" s="25"/>
    </row>
    <row r="1644" spans="7:9" x14ac:dyDescent="0.2">
      <c r="G1644" s="23"/>
      <c r="H1644" s="24"/>
      <c r="I1644" s="25"/>
    </row>
    <row r="1645" spans="7:9" x14ac:dyDescent="0.2">
      <c r="G1645" s="23"/>
      <c r="H1645" s="24"/>
      <c r="I1645" s="25"/>
    </row>
    <row r="1646" spans="7:9" x14ac:dyDescent="0.2">
      <c r="G1646" s="23"/>
      <c r="H1646" s="24"/>
      <c r="I1646" s="25"/>
    </row>
    <row r="1647" spans="7:9" x14ac:dyDescent="0.2">
      <c r="G1647" s="23"/>
      <c r="H1647" s="24"/>
      <c r="I1647" s="25"/>
    </row>
    <row r="1648" spans="7:9" x14ac:dyDescent="0.2">
      <c r="G1648" s="23"/>
      <c r="H1648" s="24"/>
      <c r="I1648" s="25"/>
    </row>
    <row r="1649" spans="7:9" x14ac:dyDescent="0.2">
      <c r="G1649" s="23"/>
      <c r="H1649" s="24"/>
      <c r="I1649" s="25"/>
    </row>
    <row r="1650" spans="7:9" x14ac:dyDescent="0.2">
      <c r="G1650" s="23"/>
      <c r="H1650" s="24"/>
      <c r="I1650" s="25"/>
    </row>
    <row r="1651" spans="7:9" x14ac:dyDescent="0.2">
      <c r="G1651" s="23"/>
      <c r="H1651" s="24"/>
      <c r="I1651" s="25"/>
    </row>
    <row r="1652" spans="7:9" x14ac:dyDescent="0.2">
      <c r="G1652" s="23"/>
      <c r="H1652" s="24"/>
      <c r="I1652" s="25"/>
    </row>
    <row r="1653" spans="7:9" x14ac:dyDescent="0.2">
      <c r="G1653" s="23"/>
      <c r="H1653" s="24"/>
      <c r="I1653" s="25"/>
    </row>
    <row r="1654" spans="7:9" x14ac:dyDescent="0.2">
      <c r="G1654" s="23"/>
      <c r="H1654" s="24"/>
      <c r="I1654" s="25"/>
    </row>
    <row r="1655" spans="7:9" x14ac:dyDescent="0.2">
      <c r="G1655" s="23"/>
      <c r="H1655" s="24"/>
      <c r="I1655" s="25"/>
    </row>
    <row r="1656" spans="7:9" x14ac:dyDescent="0.2">
      <c r="G1656" s="23"/>
      <c r="H1656" s="24"/>
      <c r="I1656" s="25"/>
    </row>
    <row r="1657" spans="7:9" x14ac:dyDescent="0.2">
      <c r="G1657" s="23"/>
      <c r="H1657" s="24"/>
      <c r="I1657" s="25"/>
    </row>
    <row r="1658" spans="7:9" x14ac:dyDescent="0.2">
      <c r="G1658" s="23"/>
      <c r="H1658" s="24"/>
      <c r="I1658" s="25"/>
    </row>
    <row r="1659" spans="7:9" x14ac:dyDescent="0.2">
      <c r="G1659" s="23"/>
      <c r="H1659" s="24"/>
      <c r="I1659" s="25"/>
    </row>
    <row r="1660" spans="7:9" x14ac:dyDescent="0.2">
      <c r="G1660" s="23"/>
      <c r="H1660" s="24"/>
      <c r="I1660" s="25"/>
    </row>
    <row r="1661" spans="7:9" x14ac:dyDescent="0.2">
      <c r="G1661" s="23"/>
      <c r="H1661" s="24"/>
      <c r="I1661" s="25"/>
    </row>
    <row r="1662" spans="7:9" x14ac:dyDescent="0.2">
      <c r="G1662" s="23"/>
      <c r="H1662" s="24"/>
      <c r="I1662" s="25"/>
    </row>
    <row r="1663" spans="7:9" x14ac:dyDescent="0.2">
      <c r="G1663" s="23"/>
      <c r="H1663" s="24"/>
      <c r="I1663" s="25"/>
    </row>
    <row r="1664" spans="7:9" x14ac:dyDescent="0.2">
      <c r="G1664" s="23"/>
      <c r="H1664" s="24"/>
      <c r="I1664" s="25"/>
    </row>
    <row r="1665" spans="7:9" x14ac:dyDescent="0.2">
      <c r="G1665" s="23"/>
      <c r="H1665" s="24"/>
      <c r="I1665" s="25"/>
    </row>
    <row r="1666" spans="7:9" x14ac:dyDescent="0.2">
      <c r="G1666" s="23"/>
      <c r="H1666" s="24"/>
      <c r="I1666" s="25"/>
    </row>
    <row r="1667" spans="7:9" x14ac:dyDescent="0.2">
      <c r="G1667" s="23"/>
      <c r="H1667" s="24"/>
      <c r="I1667" s="25"/>
    </row>
    <row r="1668" spans="7:9" x14ac:dyDescent="0.2">
      <c r="G1668" s="23"/>
      <c r="H1668" s="24"/>
      <c r="I1668" s="25"/>
    </row>
    <row r="1669" spans="7:9" x14ac:dyDescent="0.2">
      <c r="G1669" s="23"/>
      <c r="H1669" s="24"/>
      <c r="I1669" s="25"/>
    </row>
    <row r="1670" spans="7:9" x14ac:dyDescent="0.2">
      <c r="G1670" s="23"/>
      <c r="H1670" s="24"/>
      <c r="I1670" s="25"/>
    </row>
    <row r="1671" spans="7:9" x14ac:dyDescent="0.2">
      <c r="G1671" s="23"/>
      <c r="H1671" s="24"/>
      <c r="I1671" s="25"/>
    </row>
    <row r="1672" spans="7:9" x14ac:dyDescent="0.2">
      <c r="G1672" s="23"/>
      <c r="H1672" s="24"/>
      <c r="I1672" s="25"/>
    </row>
    <row r="1673" spans="7:9" x14ac:dyDescent="0.2">
      <c r="G1673" s="23"/>
      <c r="H1673" s="24"/>
      <c r="I1673" s="25"/>
    </row>
    <row r="1674" spans="7:9" x14ac:dyDescent="0.2">
      <c r="G1674" s="23"/>
      <c r="H1674" s="24"/>
      <c r="I1674" s="25"/>
    </row>
    <row r="1675" spans="7:9" x14ac:dyDescent="0.2">
      <c r="G1675" s="23"/>
      <c r="H1675" s="24"/>
      <c r="I1675" s="25"/>
    </row>
    <row r="1676" spans="7:9" x14ac:dyDescent="0.2">
      <c r="G1676" s="23"/>
      <c r="H1676" s="24"/>
      <c r="I1676" s="25"/>
    </row>
    <row r="1677" spans="7:9" x14ac:dyDescent="0.2">
      <c r="G1677" s="23"/>
      <c r="H1677" s="24"/>
      <c r="I1677" s="25"/>
    </row>
    <row r="1678" spans="7:9" x14ac:dyDescent="0.2">
      <c r="G1678" s="23"/>
      <c r="H1678" s="24"/>
      <c r="I1678" s="25"/>
    </row>
    <row r="1679" spans="7:9" x14ac:dyDescent="0.2">
      <c r="G1679" s="23"/>
      <c r="H1679" s="24"/>
      <c r="I1679" s="25"/>
    </row>
    <row r="1680" spans="7:9" x14ac:dyDescent="0.2">
      <c r="G1680" s="23"/>
      <c r="H1680" s="24"/>
      <c r="I1680" s="25"/>
    </row>
    <row r="1681" spans="7:9" x14ac:dyDescent="0.2">
      <c r="G1681" s="23"/>
      <c r="H1681" s="24"/>
      <c r="I1681" s="25"/>
    </row>
    <row r="1682" spans="7:9" x14ac:dyDescent="0.2">
      <c r="G1682" s="23"/>
      <c r="H1682" s="24"/>
      <c r="I1682" s="25"/>
    </row>
    <row r="1683" spans="7:9" x14ac:dyDescent="0.2">
      <c r="G1683" s="23"/>
      <c r="H1683" s="24"/>
      <c r="I1683" s="25"/>
    </row>
    <row r="1684" spans="7:9" x14ac:dyDescent="0.2">
      <c r="G1684" s="23"/>
      <c r="H1684" s="24"/>
      <c r="I1684" s="25"/>
    </row>
    <row r="1685" spans="7:9" x14ac:dyDescent="0.2">
      <c r="G1685" s="23"/>
      <c r="H1685" s="24"/>
      <c r="I1685" s="25"/>
    </row>
    <row r="1686" spans="7:9" x14ac:dyDescent="0.2">
      <c r="G1686" s="23"/>
      <c r="H1686" s="24"/>
      <c r="I1686" s="25"/>
    </row>
    <row r="1687" spans="7:9" x14ac:dyDescent="0.2">
      <c r="G1687" s="23"/>
      <c r="H1687" s="24"/>
      <c r="I1687" s="25"/>
    </row>
    <row r="1688" spans="7:9" x14ac:dyDescent="0.2">
      <c r="G1688" s="23"/>
      <c r="H1688" s="24"/>
      <c r="I1688" s="25"/>
    </row>
    <row r="1689" spans="7:9" x14ac:dyDescent="0.2">
      <c r="G1689" s="23"/>
      <c r="H1689" s="24"/>
      <c r="I1689" s="25"/>
    </row>
    <row r="1690" spans="7:9" x14ac:dyDescent="0.2">
      <c r="G1690" s="23"/>
      <c r="H1690" s="24"/>
      <c r="I1690" s="25"/>
    </row>
    <row r="1691" spans="7:9" x14ac:dyDescent="0.2">
      <c r="G1691" s="23"/>
      <c r="H1691" s="24"/>
      <c r="I1691" s="25"/>
    </row>
    <row r="1692" spans="7:9" x14ac:dyDescent="0.2">
      <c r="G1692" s="23"/>
      <c r="H1692" s="24"/>
      <c r="I1692" s="25"/>
    </row>
    <row r="1693" spans="7:9" x14ac:dyDescent="0.2">
      <c r="G1693" s="23"/>
      <c r="H1693" s="24"/>
      <c r="I1693" s="25"/>
    </row>
    <row r="1694" spans="7:9" x14ac:dyDescent="0.2">
      <c r="G1694" s="23"/>
      <c r="H1694" s="24"/>
      <c r="I1694" s="25"/>
    </row>
    <row r="1695" spans="7:9" x14ac:dyDescent="0.2">
      <c r="G1695" s="23"/>
      <c r="H1695" s="24"/>
      <c r="I1695" s="25"/>
    </row>
    <row r="1696" spans="7:9" x14ac:dyDescent="0.2">
      <c r="G1696" s="23"/>
      <c r="H1696" s="24"/>
      <c r="I1696" s="25"/>
    </row>
    <row r="1697" spans="7:9" x14ac:dyDescent="0.2">
      <c r="G1697" s="23"/>
      <c r="H1697" s="24"/>
      <c r="I1697" s="25"/>
    </row>
    <row r="1698" spans="7:9" x14ac:dyDescent="0.2">
      <c r="G1698" s="23"/>
      <c r="H1698" s="24"/>
      <c r="I1698" s="25"/>
    </row>
    <row r="1699" spans="7:9" x14ac:dyDescent="0.2">
      <c r="G1699" s="23"/>
      <c r="H1699" s="24"/>
      <c r="I1699" s="25"/>
    </row>
    <row r="1700" spans="7:9" x14ac:dyDescent="0.2">
      <c r="G1700" s="23"/>
      <c r="H1700" s="24"/>
      <c r="I1700" s="25"/>
    </row>
    <row r="1701" spans="7:9" x14ac:dyDescent="0.2">
      <c r="G1701" s="23"/>
      <c r="H1701" s="24"/>
      <c r="I1701" s="25"/>
    </row>
    <row r="1702" spans="7:9" x14ac:dyDescent="0.2">
      <c r="G1702" s="23"/>
      <c r="H1702" s="24"/>
      <c r="I1702" s="25"/>
    </row>
    <row r="1703" spans="7:9" x14ac:dyDescent="0.2">
      <c r="G1703" s="23"/>
      <c r="H1703" s="24"/>
      <c r="I1703" s="25"/>
    </row>
    <row r="1704" spans="7:9" x14ac:dyDescent="0.2">
      <c r="G1704" s="23"/>
      <c r="H1704" s="24"/>
      <c r="I1704" s="25"/>
    </row>
    <row r="1705" spans="7:9" x14ac:dyDescent="0.2">
      <c r="G1705" s="23"/>
      <c r="H1705" s="24"/>
      <c r="I1705" s="25"/>
    </row>
    <row r="1706" spans="7:9" x14ac:dyDescent="0.2">
      <c r="G1706" s="23"/>
      <c r="H1706" s="24"/>
      <c r="I1706" s="25"/>
    </row>
    <row r="1707" spans="7:9" x14ac:dyDescent="0.2">
      <c r="G1707" s="23"/>
      <c r="H1707" s="24"/>
      <c r="I1707" s="25"/>
    </row>
    <row r="1708" spans="7:9" x14ac:dyDescent="0.2">
      <c r="G1708" s="23"/>
      <c r="H1708" s="24"/>
      <c r="I1708" s="25"/>
    </row>
    <row r="1709" spans="7:9" x14ac:dyDescent="0.2">
      <c r="G1709" s="23"/>
      <c r="H1709" s="24"/>
      <c r="I1709" s="25"/>
    </row>
    <row r="1710" spans="7:9" x14ac:dyDescent="0.2">
      <c r="G1710" s="23"/>
      <c r="H1710" s="24"/>
      <c r="I1710" s="25"/>
    </row>
    <row r="1711" spans="7:9" x14ac:dyDescent="0.2">
      <c r="G1711" s="23"/>
      <c r="H1711" s="24"/>
      <c r="I1711" s="25"/>
    </row>
    <row r="1712" spans="7:9" x14ac:dyDescent="0.2">
      <c r="G1712" s="23"/>
      <c r="H1712" s="24"/>
      <c r="I1712" s="25"/>
    </row>
    <row r="1713" spans="7:9" x14ac:dyDescent="0.2">
      <c r="G1713" s="23"/>
      <c r="H1713" s="24"/>
      <c r="I1713" s="25"/>
    </row>
    <row r="1714" spans="7:9" x14ac:dyDescent="0.2">
      <c r="G1714" s="23"/>
      <c r="H1714" s="24"/>
      <c r="I1714" s="25"/>
    </row>
    <row r="1715" spans="7:9" x14ac:dyDescent="0.2">
      <c r="G1715" s="23"/>
      <c r="H1715" s="24"/>
      <c r="I1715" s="25"/>
    </row>
    <row r="1716" spans="7:9" x14ac:dyDescent="0.2">
      <c r="G1716" s="23"/>
      <c r="H1716" s="24"/>
      <c r="I1716" s="25"/>
    </row>
    <row r="1717" spans="7:9" x14ac:dyDescent="0.2">
      <c r="G1717" s="23"/>
      <c r="H1717" s="24"/>
      <c r="I1717" s="25"/>
    </row>
    <row r="1718" spans="7:9" x14ac:dyDescent="0.2">
      <c r="G1718" s="23"/>
      <c r="H1718" s="24"/>
      <c r="I1718" s="25"/>
    </row>
    <row r="1719" spans="7:9" x14ac:dyDescent="0.2">
      <c r="G1719" s="23"/>
      <c r="H1719" s="24"/>
      <c r="I1719" s="25"/>
    </row>
    <row r="1720" spans="7:9" x14ac:dyDescent="0.2">
      <c r="G1720" s="23"/>
      <c r="H1720" s="24"/>
      <c r="I1720" s="25"/>
    </row>
    <row r="1721" spans="7:9" x14ac:dyDescent="0.2">
      <c r="G1721" s="23"/>
      <c r="H1721" s="24"/>
      <c r="I1721" s="25"/>
    </row>
    <row r="1722" spans="7:9" x14ac:dyDescent="0.2">
      <c r="G1722" s="23"/>
      <c r="H1722" s="24"/>
      <c r="I1722" s="25"/>
    </row>
    <row r="1723" spans="7:9" x14ac:dyDescent="0.2">
      <c r="G1723" s="23"/>
      <c r="H1723" s="24"/>
      <c r="I1723" s="25"/>
    </row>
    <row r="1724" spans="7:9" x14ac:dyDescent="0.2">
      <c r="G1724" s="23"/>
      <c r="H1724" s="24"/>
      <c r="I1724" s="25"/>
    </row>
    <row r="1725" spans="7:9" x14ac:dyDescent="0.2">
      <c r="G1725" s="23"/>
      <c r="H1725" s="24"/>
      <c r="I1725" s="25"/>
    </row>
    <row r="1726" spans="7:9" x14ac:dyDescent="0.2">
      <c r="G1726" s="23"/>
      <c r="H1726" s="24"/>
      <c r="I1726" s="25"/>
    </row>
    <row r="1727" spans="7:9" x14ac:dyDescent="0.2">
      <c r="G1727" s="23"/>
      <c r="H1727" s="24"/>
      <c r="I1727" s="25"/>
    </row>
    <row r="1728" spans="7:9" x14ac:dyDescent="0.2">
      <c r="G1728" s="23"/>
      <c r="H1728" s="24"/>
      <c r="I1728" s="25"/>
    </row>
    <row r="1729" spans="7:9" x14ac:dyDescent="0.2">
      <c r="G1729" s="23"/>
      <c r="H1729" s="24"/>
      <c r="I1729" s="25"/>
    </row>
    <row r="1730" spans="7:9" x14ac:dyDescent="0.2">
      <c r="G1730" s="23"/>
      <c r="H1730" s="24"/>
      <c r="I1730" s="25"/>
    </row>
    <row r="1731" spans="7:9" x14ac:dyDescent="0.2">
      <c r="G1731" s="23"/>
      <c r="H1731" s="24"/>
      <c r="I1731" s="25"/>
    </row>
    <row r="1732" spans="7:9" x14ac:dyDescent="0.2">
      <c r="G1732" s="23"/>
      <c r="H1732" s="24"/>
      <c r="I1732" s="25"/>
    </row>
    <row r="1733" spans="7:9" x14ac:dyDescent="0.2">
      <c r="G1733" s="23"/>
      <c r="H1733" s="24"/>
      <c r="I1733" s="25"/>
    </row>
    <row r="1734" spans="7:9" x14ac:dyDescent="0.2">
      <c r="G1734" s="23"/>
      <c r="H1734" s="24"/>
      <c r="I1734" s="25"/>
    </row>
    <row r="1735" spans="7:9" x14ac:dyDescent="0.2">
      <c r="G1735" s="23"/>
      <c r="H1735" s="24"/>
      <c r="I1735" s="25"/>
    </row>
    <row r="1736" spans="7:9" x14ac:dyDescent="0.2">
      <c r="G1736" s="23"/>
      <c r="H1736" s="24"/>
      <c r="I1736" s="25"/>
    </row>
    <row r="1737" spans="7:9" x14ac:dyDescent="0.2">
      <c r="G1737" s="23"/>
      <c r="H1737" s="24"/>
      <c r="I1737" s="25"/>
    </row>
    <row r="1738" spans="7:9" x14ac:dyDescent="0.2">
      <c r="G1738" s="23"/>
      <c r="H1738" s="24"/>
      <c r="I1738" s="25"/>
    </row>
    <row r="1739" spans="7:9" x14ac:dyDescent="0.2">
      <c r="G1739" s="23"/>
      <c r="H1739" s="24"/>
      <c r="I1739" s="25"/>
    </row>
    <row r="1740" spans="7:9" x14ac:dyDescent="0.2">
      <c r="G1740" s="23"/>
      <c r="H1740" s="24"/>
      <c r="I1740" s="25"/>
    </row>
    <row r="1741" spans="7:9" x14ac:dyDescent="0.2">
      <c r="G1741" s="23"/>
      <c r="H1741" s="24"/>
      <c r="I1741" s="25"/>
    </row>
    <row r="1742" spans="7:9" x14ac:dyDescent="0.2">
      <c r="G1742" s="23"/>
      <c r="H1742" s="24"/>
      <c r="I1742" s="25"/>
    </row>
    <row r="1743" spans="7:9" x14ac:dyDescent="0.2">
      <c r="G1743" s="23"/>
      <c r="H1743" s="24"/>
      <c r="I1743" s="25"/>
    </row>
    <row r="1744" spans="7:9" x14ac:dyDescent="0.2">
      <c r="G1744" s="23"/>
      <c r="H1744" s="24"/>
      <c r="I1744" s="25"/>
    </row>
    <row r="1745" spans="7:9" x14ac:dyDescent="0.2">
      <c r="G1745" s="23"/>
      <c r="H1745" s="24"/>
      <c r="I1745" s="25"/>
    </row>
    <row r="1746" spans="7:9" x14ac:dyDescent="0.2">
      <c r="G1746" s="23"/>
      <c r="H1746" s="24"/>
      <c r="I1746" s="25"/>
    </row>
    <row r="1747" spans="7:9" x14ac:dyDescent="0.2">
      <c r="G1747" s="23"/>
      <c r="H1747" s="24"/>
      <c r="I1747" s="25"/>
    </row>
    <row r="1748" spans="7:9" x14ac:dyDescent="0.2">
      <c r="G1748" s="23"/>
      <c r="H1748" s="24"/>
      <c r="I1748" s="25"/>
    </row>
    <row r="1749" spans="7:9" x14ac:dyDescent="0.2">
      <c r="G1749" s="23"/>
      <c r="H1749" s="24"/>
      <c r="I1749" s="25"/>
    </row>
    <row r="1750" spans="7:9" x14ac:dyDescent="0.2">
      <c r="G1750" s="23"/>
      <c r="H1750" s="24"/>
      <c r="I1750" s="25"/>
    </row>
    <row r="1751" spans="7:9" x14ac:dyDescent="0.2">
      <c r="G1751" s="23"/>
      <c r="H1751" s="24"/>
      <c r="I1751" s="25"/>
    </row>
    <row r="1752" spans="7:9" x14ac:dyDescent="0.2">
      <c r="G1752" s="23"/>
      <c r="H1752" s="24"/>
      <c r="I1752" s="25"/>
    </row>
    <row r="1753" spans="7:9" x14ac:dyDescent="0.2">
      <c r="G1753" s="23"/>
      <c r="H1753" s="24"/>
      <c r="I1753" s="25"/>
    </row>
    <row r="1754" spans="7:9" x14ac:dyDescent="0.2">
      <c r="G1754" s="23"/>
      <c r="H1754" s="24"/>
      <c r="I1754" s="25"/>
    </row>
    <row r="1755" spans="7:9" x14ac:dyDescent="0.2">
      <c r="G1755" s="23"/>
      <c r="H1755" s="24"/>
      <c r="I1755" s="25"/>
    </row>
    <row r="1756" spans="7:9" x14ac:dyDescent="0.2">
      <c r="G1756" s="23"/>
      <c r="H1756" s="24"/>
      <c r="I1756" s="25"/>
    </row>
    <row r="1757" spans="7:9" x14ac:dyDescent="0.2">
      <c r="G1757" s="23"/>
      <c r="H1757" s="24"/>
      <c r="I1757" s="25"/>
    </row>
    <row r="1758" spans="7:9" x14ac:dyDescent="0.2">
      <c r="G1758" s="23"/>
      <c r="H1758" s="24"/>
      <c r="I1758" s="25"/>
    </row>
    <row r="1759" spans="7:9" x14ac:dyDescent="0.2">
      <c r="G1759" s="23"/>
      <c r="H1759" s="24"/>
      <c r="I1759" s="25"/>
    </row>
    <row r="1760" spans="7:9" x14ac:dyDescent="0.2">
      <c r="G1760" s="23"/>
      <c r="H1760" s="24"/>
      <c r="I1760" s="25"/>
    </row>
    <row r="1761" spans="7:9" x14ac:dyDescent="0.2">
      <c r="G1761" s="23"/>
      <c r="H1761" s="24"/>
      <c r="I1761" s="25"/>
    </row>
    <row r="1762" spans="7:9" x14ac:dyDescent="0.2">
      <c r="G1762" s="23"/>
      <c r="H1762" s="24"/>
      <c r="I1762" s="25"/>
    </row>
    <row r="1763" spans="7:9" x14ac:dyDescent="0.2">
      <c r="G1763" s="23"/>
      <c r="H1763" s="24"/>
      <c r="I1763" s="25"/>
    </row>
    <row r="1764" spans="7:9" x14ac:dyDescent="0.2">
      <c r="G1764" s="23"/>
      <c r="H1764" s="24"/>
      <c r="I1764" s="25"/>
    </row>
    <row r="1765" spans="7:9" x14ac:dyDescent="0.2">
      <c r="G1765" s="23"/>
      <c r="H1765" s="24"/>
      <c r="I1765" s="25"/>
    </row>
    <row r="1766" spans="7:9" x14ac:dyDescent="0.2">
      <c r="G1766" s="23"/>
      <c r="H1766" s="24"/>
      <c r="I1766" s="25"/>
    </row>
    <row r="1767" spans="7:9" x14ac:dyDescent="0.2">
      <c r="G1767" s="23"/>
      <c r="H1767" s="24"/>
      <c r="I1767" s="25"/>
    </row>
    <row r="1768" spans="7:9" x14ac:dyDescent="0.2">
      <c r="G1768" s="23"/>
      <c r="H1768" s="24"/>
      <c r="I1768" s="25"/>
    </row>
    <row r="1769" spans="7:9" x14ac:dyDescent="0.2">
      <c r="G1769" s="23"/>
      <c r="H1769" s="24"/>
      <c r="I1769" s="25"/>
    </row>
    <row r="1770" spans="7:9" x14ac:dyDescent="0.2">
      <c r="G1770" s="23"/>
      <c r="H1770" s="24"/>
      <c r="I1770" s="25"/>
    </row>
    <row r="1771" spans="7:9" x14ac:dyDescent="0.2">
      <c r="G1771" s="23"/>
      <c r="H1771" s="24"/>
      <c r="I1771" s="25"/>
    </row>
    <row r="1772" spans="7:9" x14ac:dyDescent="0.2">
      <c r="G1772" s="23"/>
      <c r="H1772" s="24"/>
      <c r="I1772" s="25"/>
    </row>
    <row r="1773" spans="7:9" x14ac:dyDescent="0.2">
      <c r="G1773" s="23"/>
      <c r="H1773" s="24"/>
      <c r="I1773" s="25"/>
    </row>
    <row r="1774" spans="7:9" x14ac:dyDescent="0.2">
      <c r="G1774" s="23"/>
      <c r="H1774" s="24"/>
      <c r="I1774" s="25"/>
    </row>
    <row r="1775" spans="7:9" x14ac:dyDescent="0.2">
      <c r="G1775" s="23"/>
      <c r="H1775" s="24"/>
      <c r="I1775" s="25"/>
    </row>
    <row r="1776" spans="7:9" x14ac:dyDescent="0.2">
      <c r="G1776" s="23"/>
      <c r="H1776" s="24"/>
      <c r="I1776" s="25"/>
    </row>
    <row r="1777" spans="7:9" x14ac:dyDescent="0.2">
      <c r="G1777" s="23"/>
      <c r="H1777" s="24"/>
      <c r="I1777" s="25"/>
    </row>
    <row r="1778" spans="7:9" x14ac:dyDescent="0.2">
      <c r="G1778" s="23"/>
      <c r="H1778" s="24"/>
      <c r="I1778" s="25"/>
    </row>
    <row r="1779" spans="7:9" x14ac:dyDescent="0.2">
      <c r="G1779" s="23"/>
      <c r="H1779" s="24"/>
      <c r="I1779" s="25"/>
    </row>
    <row r="1780" spans="7:9" x14ac:dyDescent="0.2">
      <c r="G1780" s="23"/>
      <c r="H1780" s="24"/>
      <c r="I1780" s="25"/>
    </row>
    <row r="1781" spans="7:9" x14ac:dyDescent="0.2">
      <c r="G1781" s="23"/>
      <c r="H1781" s="24"/>
      <c r="I1781" s="25"/>
    </row>
    <row r="1782" spans="7:9" x14ac:dyDescent="0.2">
      <c r="G1782" s="23"/>
      <c r="H1782" s="24"/>
      <c r="I1782" s="25"/>
    </row>
    <row r="1783" spans="7:9" x14ac:dyDescent="0.2">
      <c r="G1783" s="23"/>
      <c r="H1783" s="24"/>
      <c r="I1783" s="25"/>
    </row>
    <row r="1784" spans="7:9" x14ac:dyDescent="0.2">
      <c r="G1784" s="23"/>
      <c r="H1784" s="24"/>
      <c r="I1784" s="25"/>
    </row>
    <row r="1785" spans="7:9" x14ac:dyDescent="0.2">
      <c r="G1785" s="23"/>
      <c r="H1785" s="24"/>
      <c r="I1785" s="25"/>
    </row>
    <row r="1786" spans="7:9" x14ac:dyDescent="0.2">
      <c r="G1786" s="23"/>
      <c r="H1786" s="24"/>
      <c r="I1786" s="25"/>
    </row>
    <row r="1787" spans="7:9" x14ac:dyDescent="0.2">
      <c r="G1787" s="23"/>
      <c r="H1787" s="24"/>
      <c r="I1787" s="25"/>
    </row>
    <row r="1788" spans="7:9" x14ac:dyDescent="0.2">
      <c r="G1788" s="23"/>
      <c r="H1788" s="24"/>
      <c r="I1788" s="25"/>
    </row>
    <row r="1789" spans="7:9" x14ac:dyDescent="0.2">
      <c r="G1789" s="23"/>
      <c r="H1789" s="24"/>
      <c r="I1789" s="25"/>
    </row>
    <row r="1790" spans="7:9" x14ac:dyDescent="0.2">
      <c r="G1790" s="23"/>
      <c r="H1790" s="24"/>
      <c r="I1790" s="25"/>
    </row>
    <row r="1791" spans="7:9" x14ac:dyDescent="0.2">
      <c r="G1791" s="23"/>
      <c r="H1791" s="24"/>
      <c r="I1791" s="25"/>
    </row>
    <row r="1792" spans="7:9" x14ac:dyDescent="0.2">
      <c r="G1792" s="23"/>
      <c r="H1792" s="24"/>
      <c r="I1792" s="25"/>
    </row>
    <row r="1793" spans="7:9" x14ac:dyDescent="0.2">
      <c r="G1793" s="23"/>
      <c r="H1793" s="24"/>
      <c r="I1793" s="25"/>
    </row>
    <row r="1794" spans="7:9" x14ac:dyDescent="0.2">
      <c r="G1794" s="23"/>
      <c r="H1794" s="24"/>
      <c r="I1794" s="25"/>
    </row>
    <row r="1795" spans="7:9" x14ac:dyDescent="0.2">
      <c r="G1795" s="23"/>
      <c r="H1795" s="24"/>
      <c r="I1795" s="25"/>
    </row>
    <row r="1796" spans="7:9" x14ac:dyDescent="0.2">
      <c r="G1796" s="23"/>
      <c r="H1796" s="24"/>
      <c r="I1796" s="25"/>
    </row>
    <row r="1797" spans="7:9" x14ac:dyDescent="0.2">
      <c r="G1797" s="23"/>
      <c r="H1797" s="24"/>
      <c r="I1797" s="25"/>
    </row>
    <row r="1798" spans="7:9" x14ac:dyDescent="0.2">
      <c r="G1798" s="23"/>
      <c r="H1798" s="24"/>
      <c r="I1798" s="25"/>
    </row>
    <row r="1799" spans="7:9" x14ac:dyDescent="0.2">
      <c r="G1799" s="23"/>
      <c r="H1799" s="24"/>
      <c r="I1799" s="25"/>
    </row>
    <row r="1800" spans="7:9" x14ac:dyDescent="0.2">
      <c r="G1800" s="23"/>
      <c r="H1800" s="24"/>
      <c r="I1800" s="25"/>
    </row>
    <row r="1801" spans="7:9" x14ac:dyDescent="0.2">
      <c r="G1801" s="23"/>
      <c r="H1801" s="24"/>
      <c r="I1801" s="25"/>
    </row>
    <row r="1802" spans="7:9" x14ac:dyDescent="0.2">
      <c r="G1802" s="23"/>
      <c r="H1802" s="24"/>
      <c r="I1802" s="25"/>
    </row>
    <row r="1803" spans="7:9" x14ac:dyDescent="0.2">
      <c r="G1803" s="23"/>
      <c r="H1803" s="24"/>
      <c r="I1803" s="25"/>
    </row>
    <row r="1804" spans="7:9" x14ac:dyDescent="0.2">
      <c r="G1804" s="23"/>
      <c r="H1804" s="24"/>
      <c r="I1804" s="25"/>
    </row>
    <row r="1805" spans="7:9" x14ac:dyDescent="0.2">
      <c r="G1805" s="23"/>
      <c r="H1805" s="24"/>
      <c r="I1805" s="25"/>
    </row>
    <row r="1806" spans="7:9" x14ac:dyDescent="0.2">
      <c r="G1806" s="23"/>
      <c r="H1806" s="24"/>
      <c r="I1806" s="25"/>
    </row>
    <row r="1807" spans="7:9" x14ac:dyDescent="0.2">
      <c r="G1807" s="23"/>
      <c r="H1807" s="24"/>
      <c r="I1807" s="25"/>
    </row>
    <row r="1808" spans="7:9" x14ac:dyDescent="0.2">
      <c r="G1808" s="23"/>
      <c r="H1808" s="24"/>
      <c r="I1808" s="25"/>
    </row>
    <row r="1809" spans="7:9" x14ac:dyDescent="0.2">
      <c r="G1809" s="23"/>
      <c r="H1809" s="24"/>
      <c r="I1809" s="25"/>
    </row>
    <row r="1810" spans="7:9" x14ac:dyDescent="0.2">
      <c r="G1810" s="23"/>
      <c r="H1810" s="24"/>
      <c r="I1810" s="25"/>
    </row>
    <row r="1811" spans="7:9" x14ac:dyDescent="0.2">
      <c r="G1811" s="23"/>
      <c r="H1811" s="24"/>
      <c r="I1811" s="25"/>
    </row>
    <row r="1812" spans="7:9" x14ac:dyDescent="0.2">
      <c r="G1812" s="23"/>
      <c r="H1812" s="24"/>
      <c r="I1812" s="25"/>
    </row>
    <row r="1813" spans="7:9" x14ac:dyDescent="0.2">
      <c r="G1813" s="23"/>
      <c r="H1813" s="24"/>
      <c r="I1813" s="25"/>
    </row>
    <row r="1814" spans="7:9" x14ac:dyDescent="0.2">
      <c r="G1814" s="23"/>
      <c r="H1814" s="24"/>
      <c r="I1814" s="25"/>
    </row>
    <row r="1815" spans="7:9" x14ac:dyDescent="0.2">
      <c r="G1815" s="23"/>
      <c r="H1815" s="24"/>
      <c r="I1815" s="25"/>
    </row>
    <row r="1816" spans="7:9" x14ac:dyDescent="0.2">
      <c r="G1816" s="23"/>
      <c r="H1816" s="24"/>
      <c r="I1816" s="25"/>
    </row>
    <row r="1817" spans="7:9" x14ac:dyDescent="0.2">
      <c r="G1817" s="23"/>
      <c r="H1817" s="24"/>
      <c r="I1817" s="25"/>
    </row>
    <row r="1818" spans="7:9" x14ac:dyDescent="0.2">
      <c r="G1818" s="23"/>
      <c r="H1818" s="24"/>
      <c r="I1818" s="25"/>
    </row>
    <row r="1819" spans="7:9" x14ac:dyDescent="0.2">
      <c r="G1819" s="23"/>
      <c r="H1819" s="24"/>
      <c r="I1819" s="25"/>
    </row>
    <row r="1820" spans="7:9" x14ac:dyDescent="0.2">
      <c r="G1820" s="23"/>
      <c r="H1820" s="24"/>
      <c r="I1820" s="25"/>
    </row>
    <row r="1821" spans="7:9" x14ac:dyDescent="0.2">
      <c r="G1821" s="23"/>
      <c r="H1821" s="24"/>
      <c r="I1821" s="25"/>
    </row>
    <row r="1822" spans="7:9" x14ac:dyDescent="0.2">
      <c r="G1822" s="23"/>
      <c r="H1822" s="24"/>
      <c r="I1822" s="25"/>
    </row>
    <row r="1823" spans="7:9" x14ac:dyDescent="0.2">
      <c r="G1823" s="23"/>
      <c r="H1823" s="24"/>
      <c r="I1823" s="25"/>
    </row>
    <row r="1824" spans="7:9" x14ac:dyDescent="0.2">
      <c r="G1824" s="23"/>
      <c r="H1824" s="24"/>
      <c r="I1824" s="25"/>
    </row>
    <row r="1825" spans="7:9" x14ac:dyDescent="0.2">
      <c r="G1825" s="23"/>
      <c r="H1825" s="24"/>
      <c r="I1825" s="25"/>
    </row>
    <row r="1826" spans="7:9" x14ac:dyDescent="0.2">
      <c r="G1826" s="23"/>
      <c r="H1826" s="24"/>
      <c r="I1826" s="25"/>
    </row>
    <row r="1827" spans="7:9" x14ac:dyDescent="0.2">
      <c r="G1827" s="23"/>
      <c r="H1827" s="24"/>
      <c r="I1827" s="25"/>
    </row>
    <row r="1828" spans="7:9" x14ac:dyDescent="0.2">
      <c r="G1828" s="23"/>
      <c r="H1828" s="24"/>
      <c r="I1828" s="25"/>
    </row>
    <row r="1829" spans="7:9" x14ac:dyDescent="0.2">
      <c r="G1829" s="23"/>
      <c r="H1829" s="24"/>
      <c r="I1829" s="25"/>
    </row>
    <row r="1830" spans="7:9" x14ac:dyDescent="0.2">
      <c r="G1830" s="23"/>
      <c r="H1830" s="24"/>
      <c r="I1830" s="25"/>
    </row>
    <row r="1831" spans="7:9" x14ac:dyDescent="0.2">
      <c r="G1831" s="23"/>
      <c r="H1831" s="24"/>
      <c r="I1831" s="25"/>
    </row>
    <row r="1832" spans="7:9" x14ac:dyDescent="0.2">
      <c r="G1832" s="23"/>
      <c r="H1832" s="24"/>
      <c r="I1832" s="25"/>
    </row>
    <row r="1833" spans="7:9" x14ac:dyDescent="0.2">
      <c r="G1833" s="23"/>
      <c r="H1833" s="24"/>
      <c r="I1833" s="25"/>
    </row>
    <row r="1834" spans="7:9" x14ac:dyDescent="0.2">
      <c r="G1834" s="23"/>
      <c r="H1834" s="24"/>
      <c r="I1834" s="25"/>
    </row>
    <row r="1835" spans="7:9" x14ac:dyDescent="0.2">
      <c r="G1835" s="23"/>
      <c r="H1835" s="24"/>
      <c r="I1835" s="25"/>
    </row>
    <row r="1836" spans="7:9" x14ac:dyDescent="0.2">
      <c r="G1836" s="23"/>
      <c r="H1836" s="24"/>
      <c r="I1836" s="25"/>
    </row>
    <row r="1837" spans="7:9" x14ac:dyDescent="0.2">
      <c r="G1837" s="23"/>
      <c r="H1837" s="24"/>
      <c r="I1837" s="25"/>
    </row>
    <row r="1838" spans="7:9" x14ac:dyDescent="0.2">
      <c r="G1838" s="23"/>
      <c r="H1838" s="24"/>
      <c r="I1838" s="25"/>
    </row>
    <row r="1839" spans="7:9" x14ac:dyDescent="0.2">
      <c r="G1839" s="23"/>
      <c r="H1839" s="24"/>
      <c r="I1839" s="25"/>
    </row>
    <row r="1840" spans="7:9" x14ac:dyDescent="0.2">
      <c r="G1840" s="23"/>
      <c r="H1840" s="24"/>
      <c r="I1840" s="25"/>
    </row>
    <row r="1841" spans="7:9" x14ac:dyDescent="0.2">
      <c r="G1841" s="23"/>
      <c r="H1841" s="24"/>
      <c r="I1841" s="25"/>
    </row>
    <row r="1842" spans="7:9" x14ac:dyDescent="0.2">
      <c r="G1842" s="23"/>
      <c r="H1842" s="24"/>
      <c r="I1842" s="25"/>
    </row>
    <row r="1843" spans="7:9" x14ac:dyDescent="0.2">
      <c r="G1843" s="23"/>
      <c r="H1843" s="24"/>
      <c r="I1843" s="25"/>
    </row>
    <row r="1844" spans="7:9" x14ac:dyDescent="0.2">
      <c r="G1844" s="23"/>
      <c r="H1844" s="24"/>
      <c r="I1844" s="25"/>
    </row>
    <row r="1845" spans="7:9" x14ac:dyDescent="0.2">
      <c r="G1845" s="23"/>
      <c r="H1845" s="24"/>
      <c r="I1845" s="25"/>
    </row>
    <row r="1846" spans="7:9" x14ac:dyDescent="0.2">
      <c r="G1846" s="23"/>
      <c r="H1846" s="24"/>
      <c r="I1846" s="25"/>
    </row>
    <row r="1847" spans="7:9" x14ac:dyDescent="0.2">
      <c r="G1847" s="23"/>
      <c r="H1847" s="24"/>
      <c r="I1847" s="25"/>
    </row>
    <row r="1848" spans="7:9" x14ac:dyDescent="0.2">
      <c r="G1848" s="23"/>
      <c r="H1848" s="24"/>
      <c r="I1848" s="25"/>
    </row>
    <row r="1849" spans="7:9" x14ac:dyDescent="0.2">
      <c r="G1849" s="23"/>
      <c r="H1849" s="24"/>
      <c r="I1849" s="25"/>
    </row>
    <row r="1850" spans="7:9" x14ac:dyDescent="0.2">
      <c r="G1850" s="23"/>
      <c r="H1850" s="24"/>
      <c r="I1850" s="25"/>
    </row>
    <row r="1851" spans="7:9" x14ac:dyDescent="0.2">
      <c r="G1851" s="23"/>
      <c r="H1851" s="24"/>
      <c r="I1851" s="25"/>
    </row>
    <row r="1852" spans="7:9" x14ac:dyDescent="0.2">
      <c r="G1852" s="23"/>
      <c r="H1852" s="24"/>
      <c r="I1852" s="25"/>
    </row>
    <row r="1853" spans="7:9" x14ac:dyDescent="0.2">
      <c r="G1853" s="23"/>
      <c r="H1853" s="24"/>
      <c r="I1853" s="25"/>
    </row>
    <row r="1854" spans="7:9" x14ac:dyDescent="0.2">
      <c r="G1854" s="23"/>
      <c r="H1854" s="24"/>
      <c r="I1854" s="25"/>
    </row>
    <row r="1855" spans="7:9" x14ac:dyDescent="0.2">
      <c r="G1855" s="23"/>
      <c r="H1855" s="24"/>
      <c r="I1855" s="25"/>
    </row>
    <row r="1856" spans="7:9" x14ac:dyDescent="0.2">
      <c r="G1856" s="23"/>
      <c r="H1856" s="24"/>
      <c r="I1856" s="25"/>
    </row>
    <row r="1857" spans="7:9" x14ac:dyDescent="0.2">
      <c r="G1857" s="23"/>
      <c r="H1857" s="24"/>
      <c r="I1857" s="25"/>
    </row>
    <row r="1858" spans="7:9" x14ac:dyDescent="0.2">
      <c r="G1858" s="23"/>
      <c r="H1858" s="24"/>
      <c r="I1858" s="25"/>
    </row>
    <row r="1859" spans="7:9" x14ac:dyDescent="0.2">
      <c r="G1859" s="23"/>
      <c r="H1859" s="24"/>
      <c r="I1859" s="25"/>
    </row>
    <row r="1860" spans="7:9" x14ac:dyDescent="0.2">
      <c r="G1860" s="23"/>
      <c r="H1860" s="24"/>
      <c r="I1860" s="25"/>
    </row>
    <row r="1861" spans="7:9" x14ac:dyDescent="0.2">
      <c r="G1861" s="23"/>
      <c r="H1861" s="24"/>
      <c r="I1861" s="25"/>
    </row>
    <row r="1862" spans="7:9" x14ac:dyDescent="0.2">
      <c r="G1862" s="23"/>
      <c r="H1862" s="24"/>
      <c r="I1862" s="25"/>
    </row>
    <row r="1863" spans="7:9" x14ac:dyDescent="0.2">
      <c r="G1863" s="23"/>
      <c r="H1863" s="24"/>
      <c r="I1863" s="25"/>
    </row>
    <row r="1864" spans="7:9" x14ac:dyDescent="0.2">
      <c r="G1864" s="23"/>
      <c r="H1864" s="24"/>
      <c r="I1864" s="25"/>
    </row>
    <row r="1865" spans="7:9" x14ac:dyDescent="0.2">
      <c r="G1865" s="23"/>
      <c r="H1865" s="24"/>
      <c r="I1865" s="25"/>
    </row>
    <row r="1866" spans="7:9" x14ac:dyDescent="0.2">
      <c r="G1866" s="23"/>
      <c r="H1866" s="24"/>
      <c r="I1866" s="25"/>
    </row>
    <row r="1867" spans="7:9" x14ac:dyDescent="0.2">
      <c r="G1867" s="23"/>
      <c r="H1867" s="24"/>
      <c r="I1867" s="25"/>
    </row>
    <row r="1868" spans="7:9" x14ac:dyDescent="0.2">
      <c r="G1868" s="23"/>
      <c r="H1868" s="24"/>
      <c r="I1868" s="25"/>
    </row>
    <row r="1869" spans="7:9" x14ac:dyDescent="0.2">
      <c r="G1869" s="23"/>
      <c r="H1869" s="24"/>
      <c r="I1869" s="25"/>
    </row>
    <row r="1870" spans="7:9" x14ac:dyDescent="0.2">
      <c r="G1870" s="23"/>
      <c r="H1870" s="24"/>
      <c r="I1870" s="25"/>
    </row>
    <row r="1871" spans="7:9" x14ac:dyDescent="0.2">
      <c r="G1871" s="23"/>
      <c r="H1871" s="24"/>
      <c r="I1871" s="25"/>
    </row>
    <row r="1872" spans="7:9" x14ac:dyDescent="0.2">
      <c r="G1872" s="23"/>
      <c r="H1872" s="24"/>
      <c r="I1872" s="25"/>
    </row>
    <row r="1873" spans="7:9" x14ac:dyDescent="0.2">
      <c r="G1873" s="23"/>
      <c r="H1873" s="24"/>
      <c r="I1873" s="25"/>
    </row>
    <row r="1874" spans="7:9" x14ac:dyDescent="0.2">
      <c r="G1874" s="23"/>
      <c r="H1874" s="24"/>
      <c r="I1874" s="25"/>
    </row>
    <row r="1875" spans="7:9" x14ac:dyDescent="0.2">
      <c r="G1875" s="23"/>
      <c r="H1875" s="24"/>
      <c r="I1875" s="25"/>
    </row>
    <row r="1876" spans="7:9" x14ac:dyDescent="0.2">
      <c r="G1876" s="23"/>
      <c r="H1876" s="24"/>
      <c r="I1876" s="25"/>
    </row>
    <row r="1877" spans="7:9" x14ac:dyDescent="0.2">
      <c r="G1877" s="23"/>
      <c r="H1877" s="24"/>
      <c r="I1877" s="25"/>
    </row>
    <row r="1878" spans="7:9" x14ac:dyDescent="0.2">
      <c r="G1878" s="23"/>
      <c r="H1878" s="24"/>
      <c r="I1878" s="25"/>
    </row>
    <row r="1879" spans="7:9" x14ac:dyDescent="0.2">
      <c r="G1879" s="23"/>
      <c r="H1879" s="24"/>
      <c r="I1879" s="25"/>
    </row>
    <row r="1880" spans="7:9" x14ac:dyDescent="0.2">
      <c r="G1880" s="23"/>
      <c r="H1880" s="24"/>
      <c r="I1880" s="25"/>
    </row>
    <row r="1881" spans="7:9" x14ac:dyDescent="0.2">
      <c r="G1881" s="23"/>
      <c r="H1881" s="24"/>
      <c r="I1881" s="25"/>
    </row>
    <row r="1882" spans="7:9" x14ac:dyDescent="0.2">
      <c r="G1882" s="23"/>
      <c r="H1882" s="24"/>
      <c r="I1882" s="25"/>
    </row>
    <row r="1883" spans="7:9" x14ac:dyDescent="0.2">
      <c r="G1883" s="23"/>
      <c r="H1883" s="24"/>
      <c r="I1883" s="25"/>
    </row>
    <row r="1884" spans="7:9" x14ac:dyDescent="0.2">
      <c r="G1884" s="23"/>
      <c r="H1884" s="24"/>
      <c r="I1884" s="25"/>
    </row>
    <row r="1885" spans="7:9" x14ac:dyDescent="0.2">
      <c r="G1885" s="23"/>
      <c r="H1885" s="24"/>
      <c r="I1885" s="25"/>
    </row>
    <row r="1886" spans="7:9" x14ac:dyDescent="0.2">
      <c r="G1886" s="23"/>
      <c r="H1886" s="24"/>
      <c r="I1886" s="25"/>
    </row>
    <row r="1887" spans="7:9" x14ac:dyDescent="0.2">
      <c r="G1887" s="23"/>
      <c r="H1887" s="24"/>
      <c r="I1887" s="25"/>
    </row>
    <row r="1888" spans="7:9" x14ac:dyDescent="0.2">
      <c r="G1888" s="23"/>
      <c r="H1888" s="24"/>
      <c r="I1888" s="25"/>
    </row>
    <row r="1889" spans="7:9" x14ac:dyDescent="0.2">
      <c r="G1889" s="23"/>
      <c r="H1889" s="24"/>
      <c r="I1889" s="25"/>
    </row>
    <row r="1890" spans="7:9" x14ac:dyDescent="0.2">
      <c r="G1890" s="23"/>
      <c r="H1890" s="24"/>
      <c r="I1890" s="25"/>
    </row>
    <row r="1891" spans="7:9" x14ac:dyDescent="0.2">
      <c r="G1891" s="23"/>
      <c r="H1891" s="24"/>
      <c r="I1891" s="25"/>
    </row>
    <row r="1892" spans="7:9" x14ac:dyDescent="0.2">
      <c r="G1892" s="23"/>
      <c r="H1892" s="24"/>
      <c r="I1892" s="25"/>
    </row>
    <row r="1893" spans="7:9" x14ac:dyDescent="0.2">
      <c r="G1893" s="23"/>
      <c r="H1893" s="24"/>
      <c r="I1893" s="25"/>
    </row>
    <row r="1894" spans="7:9" x14ac:dyDescent="0.2">
      <c r="G1894" s="23"/>
      <c r="H1894" s="24"/>
      <c r="I1894" s="25"/>
    </row>
    <row r="1895" spans="7:9" x14ac:dyDescent="0.2">
      <c r="G1895" s="23"/>
      <c r="H1895" s="24"/>
      <c r="I1895" s="25"/>
    </row>
    <row r="1896" spans="7:9" x14ac:dyDescent="0.2">
      <c r="G1896" s="23"/>
      <c r="H1896" s="24"/>
      <c r="I1896" s="25"/>
    </row>
    <row r="1897" spans="7:9" x14ac:dyDescent="0.2">
      <c r="G1897" s="23"/>
      <c r="H1897" s="24"/>
      <c r="I1897" s="25"/>
    </row>
    <row r="1898" spans="7:9" x14ac:dyDescent="0.2">
      <c r="G1898" s="23"/>
      <c r="H1898" s="24"/>
      <c r="I1898" s="25"/>
    </row>
    <row r="1899" spans="7:9" x14ac:dyDescent="0.2">
      <c r="G1899" s="23"/>
      <c r="H1899" s="24"/>
      <c r="I1899" s="25"/>
    </row>
    <row r="1900" spans="7:9" x14ac:dyDescent="0.2">
      <c r="G1900" s="23"/>
      <c r="H1900" s="24"/>
      <c r="I1900" s="25"/>
    </row>
    <row r="1901" spans="7:9" x14ac:dyDescent="0.2">
      <c r="G1901" s="23"/>
      <c r="H1901" s="24"/>
      <c r="I1901" s="25"/>
    </row>
    <row r="1902" spans="7:9" x14ac:dyDescent="0.2">
      <c r="G1902" s="23"/>
      <c r="H1902" s="24"/>
      <c r="I1902" s="25"/>
    </row>
    <row r="1903" spans="7:9" x14ac:dyDescent="0.2">
      <c r="G1903" s="23"/>
      <c r="H1903" s="24"/>
      <c r="I1903" s="25"/>
    </row>
    <row r="1904" spans="7:9" x14ac:dyDescent="0.2">
      <c r="G1904" s="23"/>
      <c r="H1904" s="24"/>
      <c r="I1904" s="25"/>
    </row>
    <row r="1905" spans="7:9" x14ac:dyDescent="0.2">
      <c r="G1905" s="23"/>
      <c r="H1905" s="24"/>
      <c r="I1905" s="25"/>
    </row>
    <row r="1906" spans="7:9" x14ac:dyDescent="0.2">
      <c r="G1906" s="23"/>
      <c r="H1906" s="24"/>
      <c r="I1906" s="25"/>
    </row>
    <row r="1907" spans="7:9" x14ac:dyDescent="0.2">
      <c r="G1907" s="23"/>
      <c r="H1907" s="24"/>
      <c r="I1907" s="25"/>
    </row>
    <row r="1908" spans="7:9" x14ac:dyDescent="0.2">
      <c r="G1908" s="23"/>
      <c r="H1908" s="24"/>
      <c r="I1908" s="25"/>
    </row>
    <row r="1909" spans="7:9" x14ac:dyDescent="0.2">
      <c r="G1909" s="23"/>
      <c r="H1909" s="24"/>
      <c r="I1909" s="25"/>
    </row>
    <row r="1910" spans="7:9" x14ac:dyDescent="0.2">
      <c r="G1910" s="23"/>
      <c r="H1910" s="24"/>
      <c r="I1910" s="25"/>
    </row>
    <row r="1911" spans="7:9" x14ac:dyDescent="0.2">
      <c r="G1911" s="23"/>
      <c r="H1911" s="24"/>
      <c r="I1911" s="25"/>
    </row>
    <row r="1912" spans="7:9" x14ac:dyDescent="0.2">
      <c r="G1912" s="23"/>
      <c r="H1912" s="24"/>
      <c r="I1912" s="25"/>
    </row>
    <row r="1913" spans="7:9" x14ac:dyDescent="0.2">
      <c r="G1913" s="23"/>
      <c r="H1913" s="24"/>
      <c r="I1913" s="25"/>
    </row>
    <row r="1914" spans="7:9" x14ac:dyDescent="0.2">
      <c r="G1914" s="23"/>
      <c r="H1914" s="24"/>
      <c r="I1914" s="25"/>
    </row>
    <row r="1915" spans="7:9" x14ac:dyDescent="0.2">
      <c r="G1915" s="23"/>
      <c r="H1915" s="24"/>
      <c r="I1915" s="25"/>
    </row>
    <row r="1916" spans="7:9" x14ac:dyDescent="0.2">
      <c r="G1916" s="23"/>
      <c r="H1916" s="24"/>
      <c r="I1916" s="25"/>
    </row>
    <row r="1917" spans="7:9" x14ac:dyDescent="0.2">
      <c r="G1917" s="23"/>
      <c r="H1917" s="24"/>
      <c r="I1917" s="25"/>
    </row>
    <row r="1918" spans="7:9" x14ac:dyDescent="0.2">
      <c r="G1918" s="23"/>
      <c r="H1918" s="24"/>
      <c r="I1918" s="25"/>
    </row>
    <row r="1919" spans="7:9" x14ac:dyDescent="0.2">
      <c r="G1919" s="23"/>
      <c r="H1919" s="24"/>
      <c r="I1919" s="25"/>
    </row>
    <row r="1920" spans="7:9" x14ac:dyDescent="0.2">
      <c r="G1920" s="23"/>
      <c r="H1920" s="24"/>
      <c r="I1920" s="25"/>
    </row>
    <row r="1921" spans="7:9" x14ac:dyDescent="0.2">
      <c r="G1921" s="23"/>
      <c r="H1921" s="24"/>
      <c r="I1921" s="25"/>
    </row>
    <row r="1922" spans="7:9" x14ac:dyDescent="0.2">
      <c r="G1922" s="23"/>
      <c r="H1922" s="24"/>
      <c r="I1922" s="25"/>
    </row>
    <row r="1923" spans="7:9" x14ac:dyDescent="0.2">
      <c r="G1923" s="23"/>
      <c r="H1923" s="24"/>
      <c r="I1923" s="25"/>
    </row>
    <row r="1924" spans="7:9" x14ac:dyDescent="0.2">
      <c r="G1924" s="23"/>
      <c r="H1924" s="24"/>
      <c r="I1924" s="25"/>
    </row>
    <row r="1925" spans="7:9" x14ac:dyDescent="0.2">
      <c r="G1925" s="23"/>
      <c r="H1925" s="24"/>
      <c r="I1925" s="25"/>
    </row>
    <row r="1926" spans="7:9" x14ac:dyDescent="0.2">
      <c r="G1926" s="23"/>
      <c r="H1926" s="24"/>
      <c r="I1926" s="25"/>
    </row>
    <row r="1927" spans="7:9" x14ac:dyDescent="0.2">
      <c r="G1927" s="23"/>
      <c r="H1927" s="24"/>
      <c r="I1927" s="25"/>
    </row>
    <row r="1928" spans="7:9" x14ac:dyDescent="0.2">
      <c r="G1928" s="23"/>
      <c r="H1928" s="24"/>
      <c r="I1928" s="25"/>
    </row>
    <row r="1929" spans="7:9" x14ac:dyDescent="0.2">
      <c r="G1929" s="23"/>
      <c r="H1929" s="24"/>
      <c r="I1929" s="25"/>
    </row>
    <row r="1930" spans="7:9" x14ac:dyDescent="0.2">
      <c r="G1930" s="23"/>
      <c r="H1930" s="24"/>
      <c r="I1930" s="25"/>
    </row>
    <row r="1931" spans="7:9" x14ac:dyDescent="0.2">
      <c r="G1931" s="23"/>
      <c r="H1931" s="24"/>
      <c r="I1931" s="25"/>
    </row>
    <row r="1932" spans="7:9" x14ac:dyDescent="0.2">
      <c r="G1932" s="23"/>
      <c r="H1932" s="24"/>
      <c r="I1932" s="25"/>
    </row>
    <row r="1933" spans="7:9" x14ac:dyDescent="0.2">
      <c r="G1933" s="23"/>
      <c r="H1933" s="24"/>
      <c r="I1933" s="25"/>
    </row>
    <row r="1934" spans="7:9" x14ac:dyDescent="0.2">
      <c r="G1934" s="23"/>
      <c r="H1934" s="24"/>
      <c r="I1934" s="25"/>
    </row>
    <row r="1935" spans="7:9" x14ac:dyDescent="0.2">
      <c r="G1935" s="23"/>
      <c r="H1935" s="24"/>
      <c r="I1935" s="25"/>
    </row>
    <row r="1936" spans="7:9" x14ac:dyDescent="0.2">
      <c r="G1936" s="23"/>
      <c r="H1936" s="24"/>
      <c r="I1936" s="25"/>
    </row>
    <row r="1937" spans="7:9" x14ac:dyDescent="0.2">
      <c r="G1937" s="23"/>
      <c r="H1937" s="24"/>
      <c r="I1937" s="25"/>
    </row>
    <row r="1938" spans="7:9" x14ac:dyDescent="0.2">
      <c r="G1938" s="23"/>
      <c r="H1938" s="24"/>
      <c r="I1938" s="25"/>
    </row>
    <row r="1939" spans="7:9" x14ac:dyDescent="0.2">
      <c r="G1939" s="23"/>
      <c r="H1939" s="24"/>
      <c r="I1939" s="25"/>
    </row>
    <row r="1940" spans="7:9" x14ac:dyDescent="0.2">
      <c r="G1940" s="23"/>
      <c r="H1940" s="24"/>
      <c r="I1940" s="25"/>
    </row>
    <row r="1941" spans="7:9" x14ac:dyDescent="0.2">
      <c r="G1941" s="23"/>
      <c r="H1941" s="24"/>
      <c r="I1941" s="25"/>
    </row>
    <row r="1942" spans="7:9" x14ac:dyDescent="0.2">
      <c r="G1942" s="23"/>
      <c r="H1942" s="24"/>
      <c r="I1942" s="25"/>
    </row>
    <row r="1943" spans="7:9" x14ac:dyDescent="0.2">
      <c r="G1943" s="23"/>
      <c r="H1943" s="24"/>
      <c r="I1943" s="25"/>
    </row>
    <row r="1944" spans="7:9" x14ac:dyDescent="0.2">
      <c r="G1944" s="23"/>
      <c r="H1944" s="24"/>
      <c r="I1944" s="25"/>
    </row>
    <row r="1945" spans="7:9" x14ac:dyDescent="0.2">
      <c r="G1945" s="23"/>
      <c r="H1945" s="24"/>
      <c r="I1945" s="25"/>
    </row>
    <row r="1946" spans="7:9" x14ac:dyDescent="0.2">
      <c r="G1946" s="23"/>
      <c r="H1946" s="24"/>
      <c r="I1946" s="25"/>
    </row>
    <row r="1947" spans="7:9" x14ac:dyDescent="0.2">
      <c r="G1947" s="23"/>
      <c r="H1947" s="24"/>
      <c r="I1947" s="25"/>
    </row>
    <row r="1948" spans="7:9" x14ac:dyDescent="0.2">
      <c r="G1948" s="23"/>
      <c r="H1948" s="24"/>
      <c r="I1948" s="25"/>
    </row>
    <row r="1949" spans="7:9" x14ac:dyDescent="0.2">
      <c r="G1949" s="23"/>
      <c r="H1949" s="24"/>
      <c r="I1949" s="25"/>
    </row>
    <row r="1950" spans="7:9" x14ac:dyDescent="0.2">
      <c r="G1950" s="23"/>
      <c r="H1950" s="24"/>
      <c r="I1950" s="25"/>
    </row>
    <row r="1951" spans="7:9" x14ac:dyDescent="0.2">
      <c r="G1951" s="23"/>
      <c r="H1951" s="24"/>
      <c r="I1951" s="25"/>
    </row>
    <row r="1952" spans="7:9" x14ac:dyDescent="0.2">
      <c r="G1952" s="23"/>
      <c r="H1952" s="24"/>
      <c r="I1952" s="25"/>
    </row>
    <row r="1953" spans="7:9" x14ac:dyDescent="0.2">
      <c r="G1953" s="23"/>
      <c r="H1953" s="24"/>
      <c r="I1953" s="25"/>
    </row>
    <row r="1954" spans="7:9" x14ac:dyDescent="0.2">
      <c r="G1954" s="23"/>
      <c r="H1954" s="24"/>
      <c r="I1954" s="25"/>
    </row>
    <row r="1955" spans="7:9" x14ac:dyDescent="0.2">
      <c r="G1955" s="23"/>
      <c r="H1955" s="24"/>
      <c r="I1955" s="25"/>
    </row>
    <row r="1956" spans="7:9" x14ac:dyDescent="0.2">
      <c r="G1956" s="23"/>
      <c r="H1956" s="24"/>
      <c r="I1956" s="25"/>
    </row>
    <row r="1957" spans="7:9" x14ac:dyDescent="0.2">
      <c r="G1957" s="23"/>
      <c r="H1957" s="24"/>
      <c r="I1957" s="25"/>
    </row>
    <row r="1958" spans="7:9" x14ac:dyDescent="0.2">
      <c r="G1958" s="23"/>
      <c r="H1958" s="24"/>
      <c r="I1958" s="25"/>
    </row>
    <row r="1959" spans="7:9" x14ac:dyDescent="0.2">
      <c r="G1959" s="23"/>
      <c r="H1959" s="24"/>
      <c r="I1959" s="25"/>
    </row>
    <row r="1960" spans="7:9" x14ac:dyDescent="0.2">
      <c r="G1960" s="23"/>
      <c r="H1960" s="24"/>
      <c r="I1960" s="25"/>
    </row>
    <row r="1961" spans="7:9" x14ac:dyDescent="0.2">
      <c r="G1961" s="23"/>
      <c r="H1961" s="24"/>
      <c r="I1961" s="25"/>
    </row>
    <row r="1962" spans="7:9" x14ac:dyDescent="0.2">
      <c r="G1962" s="23"/>
      <c r="H1962" s="24"/>
      <c r="I1962" s="25"/>
    </row>
    <row r="1963" spans="7:9" x14ac:dyDescent="0.2">
      <c r="G1963" s="23"/>
      <c r="H1963" s="24"/>
      <c r="I1963" s="25"/>
    </row>
    <row r="1964" spans="7:9" x14ac:dyDescent="0.2">
      <c r="G1964" s="23"/>
      <c r="H1964" s="24"/>
      <c r="I1964" s="25"/>
    </row>
    <row r="1965" spans="7:9" x14ac:dyDescent="0.2">
      <c r="G1965" s="23"/>
      <c r="H1965" s="24"/>
      <c r="I1965" s="25"/>
    </row>
    <row r="1966" spans="7:9" x14ac:dyDescent="0.2">
      <c r="G1966" s="23"/>
      <c r="H1966" s="24"/>
      <c r="I1966" s="25"/>
    </row>
    <row r="1967" spans="7:9" x14ac:dyDescent="0.2">
      <c r="G1967" s="23"/>
      <c r="H1967" s="24"/>
      <c r="I1967" s="25"/>
    </row>
    <row r="1968" spans="7:9" x14ac:dyDescent="0.2">
      <c r="G1968" s="23"/>
      <c r="H1968" s="24"/>
      <c r="I1968" s="25"/>
    </row>
    <row r="1969" spans="7:9" x14ac:dyDescent="0.2">
      <c r="G1969" s="23"/>
      <c r="H1969" s="24"/>
      <c r="I1969" s="25"/>
    </row>
    <row r="1970" spans="7:9" x14ac:dyDescent="0.2">
      <c r="G1970" s="23"/>
      <c r="H1970" s="24"/>
      <c r="I1970" s="25"/>
    </row>
    <row r="1971" spans="7:9" x14ac:dyDescent="0.2">
      <c r="G1971" s="23"/>
      <c r="H1971" s="24"/>
      <c r="I1971" s="25"/>
    </row>
    <row r="1972" spans="7:9" x14ac:dyDescent="0.2">
      <c r="G1972" s="23"/>
      <c r="H1972" s="24"/>
      <c r="I1972" s="25"/>
    </row>
    <row r="1973" spans="7:9" x14ac:dyDescent="0.2">
      <c r="G1973" s="23"/>
      <c r="H1973" s="24"/>
      <c r="I1973" s="25"/>
    </row>
    <row r="1974" spans="7:9" x14ac:dyDescent="0.2">
      <c r="G1974" s="23"/>
      <c r="H1974" s="24"/>
      <c r="I1974" s="25"/>
    </row>
    <row r="1975" spans="7:9" x14ac:dyDescent="0.2">
      <c r="G1975" s="23"/>
      <c r="H1975" s="24"/>
      <c r="I1975" s="25"/>
    </row>
    <row r="1976" spans="7:9" x14ac:dyDescent="0.2">
      <c r="G1976" s="23"/>
      <c r="H1976" s="24"/>
      <c r="I1976" s="25"/>
    </row>
    <row r="1977" spans="7:9" x14ac:dyDescent="0.2">
      <c r="G1977" s="23"/>
      <c r="H1977" s="24"/>
      <c r="I1977" s="25"/>
    </row>
    <row r="1978" spans="7:9" x14ac:dyDescent="0.2">
      <c r="G1978" s="23"/>
      <c r="H1978" s="24"/>
      <c r="I1978" s="25"/>
    </row>
    <row r="1979" spans="7:9" x14ac:dyDescent="0.2">
      <c r="G1979" s="23"/>
      <c r="H1979" s="24"/>
      <c r="I1979" s="25"/>
    </row>
    <row r="1980" spans="7:9" x14ac:dyDescent="0.2">
      <c r="G1980" s="23"/>
      <c r="H1980" s="24"/>
      <c r="I1980" s="25"/>
    </row>
    <row r="1981" spans="7:9" x14ac:dyDescent="0.2">
      <c r="G1981" s="23"/>
      <c r="H1981" s="24"/>
      <c r="I1981" s="25"/>
    </row>
    <row r="1982" spans="7:9" x14ac:dyDescent="0.2">
      <c r="G1982" s="23"/>
      <c r="H1982" s="24"/>
      <c r="I1982" s="25"/>
    </row>
    <row r="1983" spans="7:9" x14ac:dyDescent="0.2">
      <c r="G1983" s="23"/>
      <c r="H1983" s="24"/>
      <c r="I1983" s="25"/>
    </row>
    <row r="1984" spans="7:9" x14ac:dyDescent="0.2">
      <c r="G1984" s="23"/>
      <c r="H1984" s="24"/>
      <c r="I1984" s="25"/>
    </row>
    <row r="1985" spans="7:9" x14ac:dyDescent="0.2">
      <c r="G1985" s="23"/>
      <c r="H1985" s="24"/>
      <c r="I1985" s="25"/>
    </row>
    <row r="1986" spans="7:9" x14ac:dyDescent="0.2">
      <c r="G1986" s="23"/>
      <c r="H1986" s="24"/>
      <c r="I1986" s="25"/>
    </row>
    <row r="1987" spans="7:9" x14ac:dyDescent="0.2">
      <c r="G1987" s="23"/>
      <c r="H1987" s="24"/>
      <c r="I1987" s="25"/>
    </row>
    <row r="1988" spans="7:9" x14ac:dyDescent="0.2">
      <c r="G1988" s="23"/>
      <c r="H1988" s="24"/>
      <c r="I1988" s="25"/>
    </row>
    <row r="1989" spans="7:9" x14ac:dyDescent="0.2">
      <c r="G1989" s="23"/>
      <c r="H1989" s="24"/>
      <c r="I1989" s="25"/>
    </row>
    <row r="1990" spans="7:9" x14ac:dyDescent="0.2">
      <c r="G1990" s="23"/>
      <c r="H1990" s="24"/>
      <c r="I1990" s="25"/>
    </row>
    <row r="1991" spans="7:9" x14ac:dyDescent="0.2">
      <c r="G1991" s="23"/>
      <c r="H1991" s="24"/>
      <c r="I1991" s="25"/>
    </row>
    <row r="1992" spans="7:9" x14ac:dyDescent="0.2">
      <c r="G1992" s="23"/>
      <c r="H1992" s="24"/>
      <c r="I1992" s="25"/>
    </row>
    <row r="1993" spans="7:9" x14ac:dyDescent="0.2">
      <c r="G1993" s="23"/>
      <c r="H1993" s="24"/>
      <c r="I1993" s="25"/>
    </row>
    <row r="1994" spans="7:9" x14ac:dyDescent="0.2">
      <c r="G1994" s="23"/>
      <c r="H1994" s="24"/>
      <c r="I1994" s="25"/>
    </row>
    <row r="1995" spans="7:9" x14ac:dyDescent="0.2">
      <c r="G1995" s="23"/>
      <c r="H1995" s="24"/>
      <c r="I1995" s="25"/>
    </row>
    <row r="1996" spans="7:9" x14ac:dyDescent="0.2">
      <c r="G1996" s="23"/>
      <c r="H1996" s="24"/>
      <c r="I1996" s="25"/>
    </row>
    <row r="1997" spans="7:9" x14ac:dyDescent="0.2">
      <c r="G1997" s="23"/>
      <c r="H1997" s="24"/>
      <c r="I1997" s="25"/>
    </row>
    <row r="1998" spans="7:9" x14ac:dyDescent="0.2">
      <c r="G1998" s="23"/>
      <c r="H1998" s="24"/>
      <c r="I1998" s="25"/>
    </row>
    <row r="1999" spans="7:9" x14ac:dyDescent="0.2">
      <c r="G1999" s="23"/>
      <c r="H1999" s="24"/>
      <c r="I1999" s="25"/>
    </row>
    <row r="2000" spans="7:9" x14ac:dyDescent="0.2">
      <c r="G2000" s="23"/>
      <c r="H2000" s="24"/>
      <c r="I2000" s="25"/>
    </row>
    <row r="2001" spans="7:9" x14ac:dyDescent="0.2">
      <c r="G2001" s="23"/>
      <c r="H2001" s="24"/>
      <c r="I2001" s="25"/>
    </row>
    <row r="2002" spans="7:9" x14ac:dyDescent="0.2">
      <c r="G2002" s="23"/>
      <c r="H2002" s="24"/>
      <c r="I2002" s="25"/>
    </row>
    <row r="2003" spans="7:9" x14ac:dyDescent="0.2">
      <c r="G2003" s="23"/>
      <c r="H2003" s="24"/>
      <c r="I2003" s="25"/>
    </row>
    <row r="2004" spans="7:9" x14ac:dyDescent="0.2">
      <c r="G2004" s="23"/>
      <c r="H2004" s="24"/>
      <c r="I2004" s="25"/>
    </row>
    <row r="2005" spans="7:9" x14ac:dyDescent="0.2">
      <c r="G2005" s="23"/>
      <c r="H2005" s="24"/>
      <c r="I2005" s="25"/>
    </row>
    <row r="2006" spans="7:9" x14ac:dyDescent="0.2">
      <c r="G2006" s="23"/>
      <c r="H2006" s="24"/>
      <c r="I2006" s="25"/>
    </row>
    <row r="2007" spans="7:9" x14ac:dyDescent="0.2">
      <c r="G2007" s="23"/>
      <c r="H2007" s="24"/>
      <c r="I2007" s="25"/>
    </row>
    <row r="2008" spans="7:9" x14ac:dyDescent="0.2">
      <c r="G2008" s="23"/>
      <c r="H2008" s="24"/>
      <c r="I2008" s="25"/>
    </row>
    <row r="2009" spans="7:9" x14ac:dyDescent="0.2">
      <c r="G2009" s="23"/>
      <c r="H2009" s="24"/>
      <c r="I2009" s="25"/>
    </row>
    <row r="2010" spans="7:9" x14ac:dyDescent="0.2">
      <c r="G2010" s="23"/>
      <c r="H2010" s="24"/>
      <c r="I2010" s="25"/>
    </row>
    <row r="2011" spans="7:9" x14ac:dyDescent="0.2">
      <c r="G2011" s="23"/>
      <c r="H2011" s="24"/>
      <c r="I2011" s="25"/>
    </row>
    <row r="2012" spans="7:9" x14ac:dyDescent="0.2">
      <c r="G2012" s="23"/>
      <c r="H2012" s="24"/>
      <c r="I2012" s="25"/>
    </row>
    <row r="2013" spans="7:9" x14ac:dyDescent="0.2">
      <c r="G2013" s="23"/>
      <c r="H2013" s="24"/>
      <c r="I2013" s="25"/>
    </row>
    <row r="2014" spans="7:9" x14ac:dyDescent="0.2">
      <c r="G2014" s="23"/>
      <c r="H2014" s="24"/>
      <c r="I2014" s="25"/>
    </row>
    <row r="2015" spans="7:9" x14ac:dyDescent="0.2">
      <c r="G2015" s="23"/>
      <c r="H2015" s="24"/>
      <c r="I2015" s="25"/>
    </row>
    <row r="2016" spans="7:9" x14ac:dyDescent="0.2">
      <c r="G2016" s="23"/>
      <c r="H2016" s="24"/>
      <c r="I2016" s="25"/>
    </row>
    <row r="2017" spans="7:9" x14ac:dyDescent="0.2">
      <c r="G2017" s="23"/>
      <c r="H2017" s="24"/>
      <c r="I2017" s="25"/>
    </row>
    <row r="2018" spans="7:9" x14ac:dyDescent="0.2">
      <c r="G2018" s="23"/>
      <c r="H2018" s="24"/>
      <c r="I2018" s="25"/>
    </row>
    <row r="2019" spans="7:9" x14ac:dyDescent="0.2">
      <c r="G2019" s="23"/>
      <c r="H2019" s="24"/>
      <c r="I2019" s="25"/>
    </row>
    <row r="2020" spans="7:9" x14ac:dyDescent="0.2">
      <c r="G2020" s="23"/>
      <c r="H2020" s="24"/>
      <c r="I2020" s="25"/>
    </row>
    <row r="2021" spans="7:9" x14ac:dyDescent="0.2">
      <c r="G2021" s="23"/>
      <c r="H2021" s="24"/>
      <c r="I2021" s="25"/>
    </row>
    <row r="2022" spans="7:9" x14ac:dyDescent="0.2">
      <c r="G2022" s="23"/>
      <c r="H2022" s="24"/>
      <c r="I2022" s="25"/>
    </row>
    <row r="2023" spans="7:9" x14ac:dyDescent="0.2">
      <c r="G2023" s="23"/>
      <c r="H2023" s="24"/>
      <c r="I2023" s="25"/>
    </row>
    <row r="2024" spans="7:9" x14ac:dyDescent="0.2">
      <c r="G2024" s="23"/>
      <c r="H2024" s="24"/>
      <c r="I2024" s="25"/>
    </row>
    <row r="2025" spans="7:9" x14ac:dyDescent="0.2">
      <c r="G2025" s="23"/>
      <c r="H2025" s="24"/>
      <c r="I2025" s="25"/>
    </row>
    <row r="2026" spans="7:9" x14ac:dyDescent="0.2">
      <c r="G2026" s="23"/>
      <c r="H2026" s="24"/>
      <c r="I2026" s="25"/>
    </row>
    <row r="2027" spans="7:9" x14ac:dyDescent="0.2">
      <c r="G2027" s="23"/>
      <c r="H2027" s="24"/>
      <c r="I2027" s="25"/>
    </row>
    <row r="2028" spans="7:9" x14ac:dyDescent="0.2">
      <c r="G2028" s="23"/>
      <c r="H2028" s="24"/>
      <c r="I2028" s="25"/>
    </row>
    <row r="2029" spans="7:9" x14ac:dyDescent="0.2">
      <c r="G2029" s="23"/>
      <c r="H2029" s="24"/>
      <c r="I2029" s="25"/>
    </row>
    <row r="2030" spans="7:9" x14ac:dyDescent="0.2">
      <c r="G2030" s="23"/>
      <c r="H2030" s="24"/>
      <c r="I2030" s="25"/>
    </row>
    <row r="2031" spans="7:9" x14ac:dyDescent="0.2">
      <c r="G2031" s="23"/>
      <c r="H2031" s="24"/>
      <c r="I2031" s="25"/>
    </row>
    <row r="2032" spans="7:9" x14ac:dyDescent="0.2">
      <c r="G2032" s="23"/>
      <c r="H2032" s="24"/>
      <c r="I2032" s="25"/>
    </row>
    <row r="2033" spans="7:9" x14ac:dyDescent="0.2">
      <c r="G2033" s="23"/>
      <c r="H2033" s="24"/>
      <c r="I2033" s="25"/>
    </row>
    <row r="2034" spans="7:9" x14ac:dyDescent="0.2">
      <c r="G2034" s="23"/>
      <c r="H2034" s="24"/>
      <c r="I2034" s="25"/>
    </row>
    <row r="2035" spans="7:9" x14ac:dyDescent="0.2">
      <c r="G2035" s="23"/>
      <c r="H2035" s="24"/>
      <c r="I2035" s="25"/>
    </row>
    <row r="2036" spans="7:9" x14ac:dyDescent="0.2">
      <c r="G2036" s="23"/>
      <c r="H2036" s="24"/>
      <c r="I2036" s="25"/>
    </row>
    <row r="2037" spans="7:9" x14ac:dyDescent="0.2">
      <c r="G2037" s="23"/>
      <c r="H2037" s="24"/>
      <c r="I2037" s="25"/>
    </row>
    <row r="2038" spans="7:9" x14ac:dyDescent="0.2">
      <c r="G2038" s="23"/>
      <c r="H2038" s="24"/>
      <c r="I2038" s="25"/>
    </row>
    <row r="2039" spans="7:9" x14ac:dyDescent="0.2">
      <c r="G2039" s="23"/>
      <c r="H2039" s="24"/>
      <c r="I2039" s="25"/>
    </row>
    <row r="2040" spans="7:9" x14ac:dyDescent="0.2">
      <c r="G2040" s="23"/>
      <c r="H2040" s="24"/>
      <c r="I2040" s="25"/>
    </row>
    <row r="2041" spans="7:9" x14ac:dyDescent="0.2">
      <c r="G2041" s="23"/>
      <c r="H2041" s="24"/>
      <c r="I2041" s="25"/>
    </row>
    <row r="2042" spans="7:9" x14ac:dyDescent="0.2">
      <c r="G2042" s="23"/>
      <c r="H2042" s="24"/>
      <c r="I2042" s="25"/>
    </row>
    <row r="2043" spans="7:9" x14ac:dyDescent="0.2">
      <c r="G2043" s="23"/>
      <c r="H2043" s="24"/>
      <c r="I2043" s="25"/>
    </row>
    <row r="2044" spans="7:9" x14ac:dyDescent="0.2">
      <c r="G2044" s="23"/>
      <c r="H2044" s="24"/>
      <c r="I2044" s="25"/>
    </row>
    <row r="2045" spans="7:9" x14ac:dyDescent="0.2">
      <c r="G2045" s="23"/>
      <c r="H2045" s="24"/>
      <c r="I2045" s="25"/>
    </row>
    <row r="2046" spans="7:9" x14ac:dyDescent="0.2">
      <c r="G2046" s="23"/>
      <c r="H2046" s="24"/>
      <c r="I2046" s="25"/>
    </row>
    <row r="2047" spans="7:9" x14ac:dyDescent="0.2">
      <c r="G2047" s="23"/>
      <c r="H2047" s="24"/>
      <c r="I2047" s="25"/>
    </row>
    <row r="2048" spans="7:9" x14ac:dyDescent="0.2">
      <c r="G2048" s="23"/>
      <c r="H2048" s="24"/>
      <c r="I2048" s="25"/>
    </row>
    <row r="2049" spans="7:9" x14ac:dyDescent="0.2">
      <c r="G2049" s="23"/>
      <c r="H2049" s="24"/>
      <c r="I2049" s="25"/>
    </row>
    <row r="2050" spans="7:9" x14ac:dyDescent="0.2">
      <c r="G2050" s="23"/>
      <c r="H2050" s="24"/>
      <c r="I2050" s="25"/>
    </row>
    <row r="2051" spans="7:9" x14ac:dyDescent="0.2">
      <c r="G2051" s="23"/>
      <c r="H2051" s="24"/>
      <c r="I2051" s="25"/>
    </row>
    <row r="2052" spans="7:9" x14ac:dyDescent="0.2">
      <c r="G2052" s="23"/>
      <c r="H2052" s="24"/>
      <c r="I2052" s="25"/>
    </row>
    <row r="2053" spans="7:9" x14ac:dyDescent="0.2">
      <c r="G2053" s="23"/>
      <c r="H2053" s="24"/>
      <c r="I2053" s="25"/>
    </row>
    <row r="2054" spans="7:9" x14ac:dyDescent="0.2">
      <c r="G2054" s="23"/>
      <c r="H2054" s="24"/>
      <c r="I2054" s="25"/>
    </row>
    <row r="2055" spans="7:9" x14ac:dyDescent="0.2">
      <c r="G2055" s="23"/>
      <c r="H2055" s="24"/>
      <c r="I2055" s="25"/>
    </row>
    <row r="2056" spans="7:9" x14ac:dyDescent="0.2">
      <c r="G2056" s="23"/>
      <c r="H2056" s="24"/>
      <c r="I2056" s="25"/>
    </row>
    <row r="2057" spans="7:9" x14ac:dyDescent="0.2">
      <c r="G2057" s="23"/>
      <c r="H2057" s="24"/>
      <c r="I2057" s="25"/>
    </row>
    <row r="2058" spans="7:9" x14ac:dyDescent="0.2">
      <c r="G2058" s="23"/>
      <c r="H2058" s="24"/>
      <c r="I2058" s="25"/>
    </row>
    <row r="2059" spans="7:9" x14ac:dyDescent="0.2">
      <c r="G2059" s="23"/>
      <c r="H2059" s="24"/>
      <c r="I2059" s="25"/>
    </row>
    <row r="2060" spans="7:9" x14ac:dyDescent="0.2">
      <c r="G2060" s="23"/>
      <c r="H2060" s="24"/>
      <c r="I2060" s="25"/>
    </row>
    <row r="2061" spans="7:9" x14ac:dyDescent="0.2">
      <c r="G2061" s="23"/>
      <c r="H2061" s="24"/>
      <c r="I2061" s="25"/>
    </row>
    <row r="2062" spans="7:9" x14ac:dyDescent="0.2">
      <c r="G2062" s="23"/>
      <c r="H2062" s="24"/>
      <c r="I2062" s="25"/>
    </row>
    <row r="2063" spans="7:9" x14ac:dyDescent="0.2">
      <c r="G2063" s="23"/>
      <c r="H2063" s="24"/>
      <c r="I2063" s="25"/>
    </row>
    <row r="2064" spans="7:9" x14ac:dyDescent="0.2">
      <c r="G2064" s="23"/>
      <c r="H2064" s="24"/>
      <c r="I2064" s="25"/>
    </row>
    <row r="2065" spans="7:9" x14ac:dyDescent="0.2">
      <c r="G2065" s="23"/>
      <c r="H2065" s="24"/>
      <c r="I2065" s="25"/>
    </row>
    <row r="2066" spans="7:9" x14ac:dyDescent="0.2">
      <c r="G2066" s="23"/>
      <c r="H2066" s="24"/>
      <c r="I2066" s="25"/>
    </row>
    <row r="2067" spans="7:9" x14ac:dyDescent="0.2">
      <c r="G2067" s="23"/>
      <c r="H2067" s="24"/>
      <c r="I2067" s="25"/>
    </row>
    <row r="2068" spans="7:9" x14ac:dyDescent="0.2">
      <c r="G2068" s="23"/>
      <c r="H2068" s="24"/>
      <c r="I2068" s="25"/>
    </row>
    <row r="2069" spans="7:9" x14ac:dyDescent="0.2">
      <c r="G2069" s="23"/>
      <c r="H2069" s="24"/>
      <c r="I2069" s="25"/>
    </row>
    <row r="2070" spans="7:9" x14ac:dyDescent="0.2">
      <c r="G2070" s="23"/>
      <c r="H2070" s="24"/>
      <c r="I2070" s="25"/>
    </row>
    <row r="2071" spans="7:9" x14ac:dyDescent="0.2">
      <c r="G2071" s="23"/>
      <c r="H2071" s="24"/>
      <c r="I2071" s="25"/>
    </row>
    <row r="2072" spans="7:9" x14ac:dyDescent="0.2">
      <c r="G2072" s="23"/>
      <c r="H2072" s="24"/>
      <c r="I2072" s="25"/>
    </row>
    <row r="2073" spans="7:9" x14ac:dyDescent="0.2">
      <c r="G2073" s="23"/>
      <c r="H2073" s="24"/>
      <c r="I2073" s="25"/>
    </row>
    <row r="2074" spans="7:9" x14ac:dyDescent="0.2">
      <c r="G2074" s="23"/>
      <c r="H2074" s="24"/>
      <c r="I2074" s="25"/>
    </row>
    <row r="2075" spans="7:9" x14ac:dyDescent="0.2">
      <c r="G2075" s="23"/>
      <c r="H2075" s="24"/>
      <c r="I2075" s="25"/>
    </row>
    <row r="2076" spans="7:9" x14ac:dyDescent="0.2">
      <c r="G2076" s="23"/>
      <c r="H2076" s="24"/>
      <c r="I2076" s="25"/>
    </row>
    <row r="2077" spans="7:9" x14ac:dyDescent="0.2">
      <c r="G2077" s="23"/>
      <c r="H2077" s="24"/>
      <c r="I2077" s="25"/>
    </row>
    <row r="2078" spans="7:9" x14ac:dyDescent="0.2">
      <c r="G2078" s="23"/>
      <c r="H2078" s="24"/>
      <c r="I2078" s="25"/>
    </row>
    <row r="2079" spans="7:9" x14ac:dyDescent="0.2">
      <c r="G2079" s="23"/>
      <c r="H2079" s="24"/>
      <c r="I2079" s="25"/>
    </row>
    <row r="2080" spans="7:9" x14ac:dyDescent="0.2">
      <c r="G2080" s="23"/>
      <c r="H2080" s="24"/>
      <c r="I2080" s="25"/>
    </row>
    <row r="2081" spans="7:9" x14ac:dyDescent="0.2">
      <c r="G2081" s="23"/>
      <c r="H2081" s="24"/>
      <c r="I2081" s="25"/>
    </row>
    <row r="2082" spans="7:9" x14ac:dyDescent="0.2">
      <c r="G2082" s="23"/>
      <c r="H2082" s="24"/>
      <c r="I2082" s="25"/>
    </row>
    <row r="2083" spans="7:9" x14ac:dyDescent="0.2">
      <c r="G2083" s="23"/>
      <c r="H2083" s="24"/>
      <c r="I2083" s="25"/>
    </row>
    <row r="2084" spans="7:9" x14ac:dyDescent="0.2">
      <c r="G2084" s="23"/>
      <c r="H2084" s="24"/>
      <c r="I2084" s="25"/>
    </row>
    <row r="2085" spans="7:9" x14ac:dyDescent="0.2">
      <c r="G2085" s="23"/>
      <c r="H2085" s="24"/>
      <c r="I2085" s="25"/>
    </row>
    <row r="2086" spans="7:9" x14ac:dyDescent="0.2">
      <c r="G2086" s="23"/>
      <c r="H2086" s="24"/>
      <c r="I2086" s="25"/>
    </row>
    <row r="2087" spans="7:9" x14ac:dyDescent="0.2">
      <c r="G2087" s="23"/>
      <c r="H2087" s="24"/>
      <c r="I2087" s="25"/>
    </row>
    <row r="2088" spans="7:9" x14ac:dyDescent="0.2">
      <c r="G2088" s="23"/>
      <c r="H2088" s="24"/>
      <c r="I2088" s="25"/>
    </row>
    <row r="2089" spans="7:9" x14ac:dyDescent="0.2">
      <c r="G2089" s="23"/>
      <c r="H2089" s="24"/>
      <c r="I2089" s="25"/>
    </row>
    <row r="2090" spans="7:9" x14ac:dyDescent="0.2">
      <c r="G2090" s="23"/>
      <c r="H2090" s="24"/>
      <c r="I2090" s="25"/>
    </row>
    <row r="2091" spans="7:9" x14ac:dyDescent="0.2">
      <c r="G2091" s="23"/>
      <c r="H2091" s="24"/>
      <c r="I2091" s="25"/>
    </row>
    <row r="2092" spans="7:9" x14ac:dyDescent="0.2">
      <c r="G2092" s="23"/>
      <c r="H2092" s="24"/>
      <c r="I2092" s="25"/>
    </row>
    <row r="2093" spans="7:9" x14ac:dyDescent="0.2">
      <c r="G2093" s="23"/>
      <c r="H2093" s="24"/>
      <c r="I2093" s="25"/>
    </row>
    <row r="2094" spans="7:9" x14ac:dyDescent="0.2">
      <c r="G2094" s="23"/>
      <c r="H2094" s="24"/>
      <c r="I2094" s="25"/>
    </row>
    <row r="2095" spans="7:9" x14ac:dyDescent="0.2">
      <c r="G2095" s="23"/>
      <c r="H2095" s="24"/>
      <c r="I2095" s="25"/>
    </row>
    <row r="2096" spans="7:9" x14ac:dyDescent="0.2">
      <c r="G2096" s="23"/>
      <c r="H2096" s="24"/>
      <c r="I2096" s="25"/>
    </row>
    <row r="2097" spans="7:9" x14ac:dyDescent="0.2">
      <c r="G2097" s="23"/>
      <c r="H2097" s="24"/>
      <c r="I2097" s="25"/>
    </row>
    <row r="2098" spans="7:9" x14ac:dyDescent="0.2">
      <c r="G2098" s="23"/>
      <c r="H2098" s="24"/>
      <c r="I2098" s="25"/>
    </row>
    <row r="2099" spans="7:9" x14ac:dyDescent="0.2">
      <c r="G2099" s="23"/>
      <c r="H2099" s="24"/>
      <c r="I2099" s="25"/>
    </row>
    <row r="2100" spans="7:9" x14ac:dyDescent="0.2">
      <c r="G2100" s="23"/>
      <c r="H2100" s="24"/>
      <c r="I2100" s="25"/>
    </row>
    <row r="2101" spans="7:9" x14ac:dyDescent="0.2">
      <c r="G2101" s="23"/>
      <c r="H2101" s="24"/>
      <c r="I2101" s="25"/>
    </row>
    <row r="2102" spans="7:9" x14ac:dyDescent="0.2">
      <c r="G2102" s="23"/>
      <c r="H2102" s="24"/>
      <c r="I2102" s="25"/>
    </row>
    <row r="2103" spans="7:9" x14ac:dyDescent="0.2">
      <c r="G2103" s="23"/>
      <c r="H2103" s="24"/>
      <c r="I2103" s="25"/>
    </row>
    <row r="2104" spans="7:9" x14ac:dyDescent="0.2">
      <c r="G2104" s="23"/>
      <c r="H2104" s="24"/>
      <c r="I2104" s="25"/>
    </row>
    <row r="2105" spans="7:9" x14ac:dyDescent="0.2">
      <c r="G2105" s="23"/>
      <c r="H2105" s="24"/>
      <c r="I2105" s="25"/>
    </row>
    <row r="2106" spans="7:9" x14ac:dyDescent="0.2">
      <c r="G2106" s="23"/>
      <c r="H2106" s="24"/>
      <c r="I2106" s="25"/>
    </row>
    <row r="2107" spans="7:9" x14ac:dyDescent="0.2">
      <c r="G2107" s="23"/>
      <c r="H2107" s="24"/>
      <c r="I2107" s="25"/>
    </row>
    <row r="2108" spans="7:9" x14ac:dyDescent="0.2">
      <c r="G2108" s="23"/>
      <c r="H2108" s="24"/>
      <c r="I2108" s="25"/>
    </row>
    <row r="2109" spans="7:9" x14ac:dyDescent="0.2">
      <c r="G2109" s="23"/>
      <c r="H2109" s="24"/>
      <c r="I2109" s="25"/>
    </row>
    <row r="2110" spans="7:9" x14ac:dyDescent="0.2">
      <c r="G2110" s="23"/>
      <c r="H2110" s="24"/>
      <c r="I2110" s="25"/>
    </row>
    <row r="2111" spans="7:9" x14ac:dyDescent="0.2">
      <c r="G2111" s="23"/>
      <c r="H2111" s="24"/>
      <c r="I2111" s="25"/>
    </row>
    <row r="2112" spans="7:9" x14ac:dyDescent="0.2">
      <c r="G2112" s="23"/>
      <c r="H2112" s="24"/>
      <c r="I2112" s="25"/>
    </row>
    <row r="2113" spans="7:9" x14ac:dyDescent="0.2">
      <c r="G2113" s="23"/>
      <c r="H2113" s="24"/>
      <c r="I2113" s="25"/>
    </row>
    <row r="2114" spans="7:9" x14ac:dyDescent="0.2">
      <c r="G2114" s="23"/>
      <c r="H2114" s="24"/>
      <c r="I2114" s="25"/>
    </row>
    <row r="2115" spans="7:9" x14ac:dyDescent="0.2">
      <c r="G2115" s="23"/>
      <c r="H2115" s="24"/>
      <c r="I2115" s="25"/>
    </row>
    <row r="2116" spans="7:9" x14ac:dyDescent="0.2">
      <c r="G2116" s="23"/>
      <c r="H2116" s="24"/>
      <c r="I2116" s="25"/>
    </row>
    <row r="2117" spans="7:9" x14ac:dyDescent="0.2">
      <c r="G2117" s="23"/>
      <c r="H2117" s="24"/>
      <c r="I2117" s="25"/>
    </row>
    <row r="2118" spans="7:9" x14ac:dyDescent="0.2">
      <c r="G2118" s="23"/>
      <c r="H2118" s="24"/>
      <c r="I2118" s="25"/>
    </row>
    <row r="2119" spans="7:9" x14ac:dyDescent="0.2">
      <c r="G2119" s="23"/>
      <c r="H2119" s="24"/>
      <c r="I2119" s="25"/>
    </row>
    <row r="2120" spans="7:9" x14ac:dyDescent="0.2">
      <c r="G2120" s="23"/>
      <c r="H2120" s="24"/>
      <c r="I2120" s="25"/>
    </row>
    <row r="2121" spans="7:9" x14ac:dyDescent="0.2">
      <c r="G2121" s="23"/>
      <c r="H2121" s="24"/>
      <c r="I2121" s="25"/>
    </row>
    <row r="2122" spans="7:9" x14ac:dyDescent="0.2">
      <c r="G2122" s="23"/>
      <c r="H2122" s="24"/>
      <c r="I2122" s="25"/>
    </row>
    <row r="2123" spans="7:9" x14ac:dyDescent="0.2">
      <c r="G2123" s="23"/>
      <c r="H2123" s="24"/>
      <c r="I2123" s="25"/>
    </row>
    <row r="2124" spans="7:9" x14ac:dyDescent="0.2">
      <c r="G2124" s="23"/>
      <c r="H2124" s="24"/>
      <c r="I2124" s="25"/>
    </row>
    <row r="2125" spans="7:9" x14ac:dyDescent="0.2">
      <c r="G2125" s="23"/>
      <c r="H2125" s="24"/>
      <c r="I2125" s="25"/>
    </row>
    <row r="2126" spans="7:9" x14ac:dyDescent="0.2">
      <c r="G2126" s="23"/>
      <c r="H2126" s="24"/>
      <c r="I2126" s="25"/>
    </row>
    <row r="2127" spans="7:9" x14ac:dyDescent="0.2">
      <c r="G2127" s="23"/>
      <c r="H2127" s="24"/>
      <c r="I2127" s="25"/>
    </row>
    <row r="2128" spans="7:9" x14ac:dyDescent="0.2">
      <c r="G2128" s="23"/>
      <c r="H2128" s="24"/>
      <c r="I2128" s="25"/>
    </row>
    <row r="2129" spans="7:9" x14ac:dyDescent="0.2">
      <c r="G2129" s="23"/>
      <c r="H2129" s="24"/>
      <c r="I2129" s="25"/>
    </row>
    <row r="2130" spans="7:9" x14ac:dyDescent="0.2">
      <c r="G2130" s="23"/>
      <c r="H2130" s="24"/>
      <c r="I2130" s="25"/>
    </row>
    <row r="2131" spans="7:9" x14ac:dyDescent="0.2">
      <c r="G2131" s="23"/>
      <c r="H2131" s="24"/>
      <c r="I2131" s="25"/>
    </row>
    <row r="2132" spans="7:9" x14ac:dyDescent="0.2">
      <c r="G2132" s="23"/>
      <c r="H2132" s="24"/>
      <c r="I2132" s="25"/>
    </row>
    <row r="2133" spans="7:9" x14ac:dyDescent="0.2">
      <c r="G2133" s="23"/>
      <c r="H2133" s="24"/>
      <c r="I2133" s="25"/>
    </row>
    <row r="2134" spans="7:9" x14ac:dyDescent="0.2">
      <c r="G2134" s="23"/>
      <c r="H2134" s="24"/>
      <c r="I2134" s="25"/>
    </row>
    <row r="2135" spans="7:9" x14ac:dyDescent="0.2">
      <c r="G2135" s="23"/>
      <c r="H2135" s="24"/>
      <c r="I2135" s="25"/>
    </row>
    <row r="2136" spans="7:9" x14ac:dyDescent="0.2">
      <c r="G2136" s="23"/>
      <c r="H2136" s="24"/>
      <c r="I2136" s="25"/>
    </row>
    <row r="2137" spans="7:9" x14ac:dyDescent="0.2">
      <c r="G2137" s="23"/>
      <c r="H2137" s="24"/>
      <c r="I2137" s="25"/>
    </row>
    <row r="2138" spans="7:9" x14ac:dyDescent="0.2">
      <c r="G2138" s="23"/>
      <c r="H2138" s="24"/>
      <c r="I2138" s="25"/>
    </row>
    <row r="2139" spans="7:9" x14ac:dyDescent="0.2">
      <c r="G2139" s="23"/>
      <c r="H2139" s="24"/>
      <c r="I2139" s="25"/>
    </row>
    <row r="2140" spans="7:9" x14ac:dyDescent="0.2">
      <c r="G2140" s="23"/>
      <c r="H2140" s="24"/>
      <c r="I2140" s="25"/>
    </row>
    <row r="2141" spans="7:9" x14ac:dyDescent="0.2">
      <c r="G2141" s="23"/>
      <c r="H2141" s="24"/>
      <c r="I2141" s="25"/>
    </row>
    <row r="2142" spans="7:9" x14ac:dyDescent="0.2">
      <c r="G2142" s="23"/>
      <c r="H2142" s="24"/>
      <c r="I2142" s="25"/>
    </row>
    <row r="2143" spans="7:9" x14ac:dyDescent="0.2">
      <c r="G2143" s="23"/>
      <c r="H2143" s="24"/>
      <c r="I2143" s="25"/>
    </row>
    <row r="2144" spans="7:9" x14ac:dyDescent="0.2">
      <c r="G2144" s="23"/>
      <c r="H2144" s="24"/>
      <c r="I2144" s="25"/>
    </row>
    <row r="2145" spans="7:9" x14ac:dyDescent="0.2">
      <c r="G2145" s="23"/>
      <c r="H2145" s="24"/>
      <c r="I2145" s="25"/>
    </row>
    <row r="2146" spans="7:9" x14ac:dyDescent="0.2">
      <c r="G2146" s="23"/>
      <c r="H2146" s="24"/>
      <c r="I2146" s="25"/>
    </row>
    <row r="2147" spans="7:9" x14ac:dyDescent="0.2">
      <c r="G2147" s="23"/>
      <c r="H2147" s="24"/>
      <c r="I2147" s="25"/>
    </row>
    <row r="2148" spans="7:9" x14ac:dyDescent="0.2">
      <c r="G2148" s="23"/>
      <c r="H2148" s="24"/>
      <c r="I2148" s="25"/>
    </row>
    <row r="2149" spans="7:9" x14ac:dyDescent="0.2">
      <c r="G2149" s="23"/>
      <c r="H2149" s="24"/>
      <c r="I2149" s="25"/>
    </row>
    <row r="2150" spans="7:9" x14ac:dyDescent="0.2">
      <c r="G2150" s="23"/>
      <c r="H2150" s="24"/>
      <c r="I2150" s="25"/>
    </row>
    <row r="2151" spans="7:9" x14ac:dyDescent="0.2">
      <c r="G2151" s="23"/>
      <c r="H2151" s="24"/>
      <c r="I2151" s="25"/>
    </row>
    <row r="2152" spans="7:9" x14ac:dyDescent="0.2">
      <c r="G2152" s="23"/>
      <c r="H2152" s="24"/>
      <c r="I2152" s="25"/>
    </row>
    <row r="2153" spans="7:9" x14ac:dyDescent="0.2">
      <c r="G2153" s="23"/>
      <c r="H2153" s="24"/>
      <c r="I2153" s="25"/>
    </row>
    <row r="2154" spans="7:9" x14ac:dyDescent="0.2">
      <c r="G2154" s="23"/>
      <c r="H2154" s="24"/>
      <c r="I2154" s="25"/>
    </row>
    <row r="2155" spans="7:9" x14ac:dyDescent="0.2">
      <c r="G2155" s="23"/>
      <c r="H2155" s="24"/>
      <c r="I2155" s="25"/>
    </row>
    <row r="2156" spans="7:9" x14ac:dyDescent="0.2">
      <c r="G2156" s="23"/>
      <c r="H2156" s="24"/>
      <c r="I2156" s="25"/>
    </row>
    <row r="2157" spans="7:9" x14ac:dyDescent="0.2">
      <c r="G2157" s="23"/>
      <c r="H2157" s="24"/>
      <c r="I2157" s="25"/>
    </row>
    <row r="2158" spans="7:9" x14ac:dyDescent="0.2">
      <c r="G2158" s="23"/>
      <c r="H2158" s="24"/>
      <c r="I2158" s="25"/>
    </row>
    <row r="2159" spans="7:9" x14ac:dyDescent="0.2">
      <c r="G2159" s="23"/>
      <c r="H2159" s="24"/>
      <c r="I2159" s="25"/>
    </row>
    <row r="2160" spans="7:9" x14ac:dyDescent="0.2">
      <c r="G2160" s="23"/>
      <c r="H2160" s="24"/>
      <c r="I2160" s="25"/>
    </row>
    <row r="2161" spans="7:9" x14ac:dyDescent="0.2">
      <c r="G2161" s="23"/>
      <c r="H2161" s="24"/>
      <c r="I2161" s="25"/>
    </row>
    <row r="2162" spans="7:9" x14ac:dyDescent="0.2">
      <c r="G2162" s="23"/>
      <c r="H2162" s="24"/>
      <c r="I2162" s="25"/>
    </row>
    <row r="2163" spans="7:9" x14ac:dyDescent="0.2">
      <c r="G2163" s="23"/>
      <c r="H2163" s="24"/>
      <c r="I2163" s="25"/>
    </row>
    <row r="2164" spans="7:9" x14ac:dyDescent="0.2">
      <c r="G2164" s="23"/>
      <c r="H2164" s="24"/>
      <c r="I2164" s="25"/>
    </row>
    <row r="2165" spans="7:9" x14ac:dyDescent="0.2">
      <c r="G2165" s="23"/>
      <c r="H2165" s="24"/>
      <c r="I2165" s="25"/>
    </row>
    <row r="2166" spans="7:9" x14ac:dyDescent="0.2">
      <c r="G2166" s="23"/>
      <c r="H2166" s="24"/>
      <c r="I2166" s="25"/>
    </row>
    <row r="2167" spans="7:9" x14ac:dyDescent="0.2">
      <c r="G2167" s="23"/>
      <c r="H2167" s="24"/>
      <c r="I2167" s="25"/>
    </row>
    <row r="2168" spans="7:9" x14ac:dyDescent="0.2">
      <c r="G2168" s="23"/>
      <c r="H2168" s="24"/>
      <c r="I2168" s="25"/>
    </row>
    <row r="2169" spans="7:9" x14ac:dyDescent="0.2">
      <c r="G2169" s="23"/>
      <c r="H2169" s="24"/>
      <c r="I2169" s="25"/>
    </row>
    <row r="2170" spans="7:9" x14ac:dyDescent="0.2">
      <c r="G2170" s="23"/>
      <c r="H2170" s="24"/>
      <c r="I2170" s="25"/>
    </row>
    <row r="2171" spans="7:9" x14ac:dyDescent="0.2">
      <c r="G2171" s="23"/>
      <c r="H2171" s="24"/>
      <c r="I2171" s="25"/>
    </row>
    <row r="2172" spans="7:9" x14ac:dyDescent="0.2">
      <c r="G2172" s="23"/>
      <c r="H2172" s="24"/>
      <c r="I2172" s="25"/>
    </row>
    <row r="2173" spans="7:9" x14ac:dyDescent="0.2">
      <c r="G2173" s="23"/>
      <c r="H2173" s="24"/>
      <c r="I2173" s="25"/>
    </row>
    <row r="2174" spans="7:9" x14ac:dyDescent="0.2">
      <c r="G2174" s="23"/>
      <c r="H2174" s="24"/>
      <c r="I2174" s="25"/>
    </row>
    <row r="2175" spans="7:9" x14ac:dyDescent="0.2">
      <c r="G2175" s="23"/>
      <c r="H2175" s="24"/>
      <c r="I2175" s="25"/>
    </row>
    <row r="2176" spans="7:9" x14ac:dyDescent="0.2">
      <c r="G2176" s="23"/>
      <c r="H2176" s="24"/>
      <c r="I2176" s="25"/>
    </row>
    <row r="2177" spans="7:9" x14ac:dyDescent="0.2">
      <c r="G2177" s="23"/>
      <c r="H2177" s="24"/>
      <c r="I2177" s="25"/>
    </row>
    <row r="2178" spans="7:9" x14ac:dyDescent="0.2">
      <c r="G2178" s="23"/>
      <c r="H2178" s="24"/>
      <c r="I2178" s="25"/>
    </row>
    <row r="2179" spans="7:9" x14ac:dyDescent="0.2">
      <c r="G2179" s="23"/>
      <c r="H2179" s="24"/>
      <c r="I2179" s="25"/>
    </row>
    <row r="2180" spans="7:9" x14ac:dyDescent="0.2">
      <c r="G2180" s="23"/>
      <c r="H2180" s="24"/>
      <c r="I2180" s="25"/>
    </row>
    <row r="2181" spans="7:9" x14ac:dyDescent="0.2">
      <c r="G2181" s="23"/>
      <c r="H2181" s="24"/>
      <c r="I2181" s="25"/>
    </row>
    <row r="2182" spans="7:9" x14ac:dyDescent="0.2">
      <c r="G2182" s="23"/>
      <c r="H2182" s="24"/>
      <c r="I2182" s="25"/>
    </row>
    <row r="2183" spans="7:9" x14ac:dyDescent="0.2">
      <c r="G2183" s="23"/>
      <c r="H2183" s="24"/>
      <c r="I2183" s="25"/>
    </row>
    <row r="2184" spans="7:9" x14ac:dyDescent="0.2">
      <c r="G2184" s="23"/>
      <c r="H2184" s="24"/>
      <c r="I2184" s="25"/>
    </row>
    <row r="2185" spans="7:9" x14ac:dyDescent="0.2">
      <c r="G2185" s="23"/>
      <c r="H2185" s="24"/>
      <c r="I2185" s="25"/>
    </row>
    <row r="2186" spans="7:9" x14ac:dyDescent="0.2">
      <c r="G2186" s="23"/>
      <c r="H2186" s="24"/>
      <c r="I2186" s="25"/>
    </row>
    <row r="2187" spans="7:9" x14ac:dyDescent="0.2">
      <c r="G2187" s="23"/>
      <c r="H2187" s="24"/>
      <c r="I2187" s="25"/>
    </row>
    <row r="2188" spans="7:9" x14ac:dyDescent="0.2">
      <c r="G2188" s="23"/>
      <c r="H2188" s="24"/>
      <c r="I2188" s="25"/>
    </row>
    <row r="2189" spans="7:9" x14ac:dyDescent="0.2">
      <c r="G2189" s="23"/>
      <c r="H2189" s="24"/>
      <c r="I2189" s="25"/>
    </row>
    <row r="2190" spans="7:9" x14ac:dyDescent="0.2">
      <c r="G2190" s="23"/>
      <c r="H2190" s="24"/>
      <c r="I2190" s="25"/>
    </row>
    <row r="2191" spans="7:9" x14ac:dyDescent="0.2">
      <c r="G2191" s="23"/>
      <c r="H2191" s="24"/>
      <c r="I2191" s="25"/>
    </row>
    <row r="2192" spans="7:9" x14ac:dyDescent="0.2">
      <c r="G2192" s="23"/>
      <c r="H2192" s="24"/>
      <c r="I2192" s="25"/>
    </row>
    <row r="2193" spans="7:9" x14ac:dyDescent="0.2">
      <c r="G2193" s="23"/>
      <c r="H2193" s="24"/>
      <c r="I2193" s="25"/>
    </row>
    <row r="2194" spans="7:9" x14ac:dyDescent="0.2">
      <c r="G2194" s="23"/>
      <c r="H2194" s="24"/>
      <c r="I2194" s="25"/>
    </row>
    <row r="2195" spans="7:9" x14ac:dyDescent="0.2">
      <c r="G2195" s="23"/>
      <c r="H2195" s="24"/>
      <c r="I2195" s="25"/>
    </row>
    <row r="2196" spans="7:9" x14ac:dyDescent="0.2">
      <c r="G2196" s="23"/>
      <c r="H2196" s="24"/>
      <c r="I2196" s="25"/>
    </row>
    <row r="2197" spans="7:9" x14ac:dyDescent="0.2">
      <c r="G2197" s="23"/>
      <c r="H2197" s="24"/>
      <c r="I2197" s="25"/>
    </row>
    <row r="2198" spans="7:9" x14ac:dyDescent="0.2">
      <c r="G2198" s="23"/>
      <c r="H2198" s="24"/>
      <c r="I2198" s="25"/>
    </row>
    <row r="2199" spans="7:9" x14ac:dyDescent="0.2">
      <c r="G2199" s="23"/>
      <c r="H2199" s="24"/>
      <c r="I2199" s="25"/>
    </row>
    <row r="2200" spans="7:9" x14ac:dyDescent="0.2">
      <c r="G2200" s="23"/>
      <c r="H2200" s="24"/>
      <c r="I2200" s="25"/>
    </row>
    <row r="2201" spans="7:9" x14ac:dyDescent="0.2">
      <c r="G2201" s="23"/>
      <c r="H2201" s="24"/>
      <c r="I2201" s="25"/>
    </row>
    <row r="2202" spans="7:9" x14ac:dyDescent="0.2">
      <c r="G2202" s="23"/>
      <c r="H2202" s="24"/>
      <c r="I2202" s="25"/>
    </row>
    <row r="2203" spans="7:9" x14ac:dyDescent="0.2">
      <c r="G2203" s="23"/>
      <c r="H2203" s="24"/>
      <c r="I2203" s="25"/>
    </row>
    <row r="2204" spans="7:9" x14ac:dyDescent="0.2">
      <c r="G2204" s="23"/>
      <c r="H2204" s="24"/>
      <c r="I2204" s="25"/>
    </row>
    <row r="2205" spans="7:9" x14ac:dyDescent="0.2">
      <c r="G2205" s="23"/>
      <c r="H2205" s="24"/>
      <c r="I2205" s="25"/>
    </row>
    <row r="2206" spans="7:9" x14ac:dyDescent="0.2">
      <c r="G2206" s="23"/>
      <c r="H2206" s="24"/>
      <c r="I2206" s="25"/>
    </row>
    <row r="2207" spans="7:9" x14ac:dyDescent="0.2">
      <c r="G2207" s="23"/>
      <c r="H2207" s="24"/>
      <c r="I2207" s="25"/>
    </row>
    <row r="2208" spans="7:9" x14ac:dyDescent="0.2">
      <c r="G2208" s="23"/>
      <c r="H2208" s="24"/>
      <c r="I2208" s="25"/>
    </row>
    <row r="2209" spans="7:9" x14ac:dyDescent="0.2">
      <c r="G2209" s="23"/>
      <c r="H2209" s="24"/>
      <c r="I2209" s="25"/>
    </row>
    <row r="2210" spans="7:9" x14ac:dyDescent="0.2">
      <c r="G2210" s="23"/>
      <c r="H2210" s="24"/>
      <c r="I2210" s="25"/>
    </row>
    <row r="2211" spans="7:9" x14ac:dyDescent="0.2">
      <c r="G2211" s="23"/>
      <c r="H2211" s="24"/>
      <c r="I2211" s="25"/>
    </row>
    <row r="2212" spans="7:9" x14ac:dyDescent="0.2">
      <c r="G2212" s="23"/>
      <c r="H2212" s="24"/>
      <c r="I2212" s="25"/>
    </row>
    <row r="2213" spans="7:9" x14ac:dyDescent="0.2">
      <c r="G2213" s="23"/>
      <c r="H2213" s="24"/>
      <c r="I2213" s="25"/>
    </row>
    <row r="2214" spans="7:9" x14ac:dyDescent="0.2">
      <c r="G2214" s="23"/>
      <c r="H2214" s="24"/>
      <c r="I2214" s="25"/>
    </row>
    <row r="2215" spans="7:9" x14ac:dyDescent="0.2">
      <c r="G2215" s="23"/>
      <c r="H2215" s="24"/>
      <c r="I2215" s="25"/>
    </row>
    <row r="2216" spans="7:9" x14ac:dyDescent="0.2">
      <c r="G2216" s="23"/>
      <c r="H2216" s="24"/>
      <c r="I2216" s="25"/>
    </row>
    <row r="2217" spans="7:9" x14ac:dyDescent="0.2">
      <c r="G2217" s="23"/>
      <c r="H2217" s="24"/>
      <c r="I2217" s="25"/>
    </row>
    <row r="2218" spans="7:9" x14ac:dyDescent="0.2">
      <c r="G2218" s="23"/>
      <c r="H2218" s="24"/>
      <c r="I2218" s="25"/>
    </row>
    <row r="2219" spans="7:9" x14ac:dyDescent="0.2">
      <c r="G2219" s="23"/>
      <c r="H2219" s="24"/>
      <c r="I2219" s="25"/>
    </row>
    <row r="2220" spans="7:9" x14ac:dyDescent="0.2">
      <c r="G2220" s="23"/>
      <c r="H2220" s="24"/>
      <c r="I2220" s="25"/>
    </row>
    <row r="2221" spans="7:9" x14ac:dyDescent="0.2">
      <c r="G2221" s="23"/>
      <c r="H2221" s="24"/>
      <c r="I2221" s="25"/>
    </row>
    <row r="2222" spans="7:9" x14ac:dyDescent="0.2">
      <c r="G2222" s="23"/>
      <c r="H2222" s="24"/>
      <c r="I2222" s="25"/>
    </row>
    <row r="2223" spans="7:9" x14ac:dyDescent="0.2">
      <c r="G2223" s="23"/>
      <c r="H2223" s="24"/>
      <c r="I2223" s="25"/>
    </row>
    <row r="2224" spans="7:9" x14ac:dyDescent="0.2">
      <c r="G2224" s="23"/>
      <c r="H2224" s="24"/>
      <c r="I2224" s="25"/>
    </row>
    <row r="2225" spans="7:9" x14ac:dyDescent="0.2">
      <c r="G2225" s="23"/>
      <c r="H2225" s="24"/>
      <c r="I2225" s="25"/>
    </row>
    <row r="2226" spans="7:9" x14ac:dyDescent="0.2">
      <c r="G2226" s="23"/>
      <c r="H2226" s="24"/>
      <c r="I2226" s="25"/>
    </row>
    <row r="2227" spans="7:9" x14ac:dyDescent="0.2">
      <c r="G2227" s="23"/>
      <c r="H2227" s="24"/>
      <c r="I2227" s="25"/>
    </row>
    <row r="2228" spans="7:9" x14ac:dyDescent="0.2">
      <c r="G2228" s="23"/>
      <c r="H2228" s="24"/>
      <c r="I2228" s="25"/>
    </row>
    <row r="2229" spans="7:9" x14ac:dyDescent="0.2">
      <c r="G2229" s="23"/>
      <c r="H2229" s="24"/>
      <c r="I2229" s="25"/>
    </row>
    <row r="2230" spans="7:9" x14ac:dyDescent="0.2">
      <c r="G2230" s="23"/>
      <c r="H2230" s="24"/>
      <c r="I2230" s="25"/>
    </row>
    <row r="2231" spans="7:9" x14ac:dyDescent="0.2">
      <c r="G2231" s="23"/>
      <c r="H2231" s="24"/>
      <c r="I2231" s="25"/>
    </row>
    <row r="2232" spans="7:9" x14ac:dyDescent="0.2">
      <c r="G2232" s="23"/>
      <c r="H2232" s="24"/>
      <c r="I2232" s="25"/>
    </row>
    <row r="2233" spans="7:9" x14ac:dyDescent="0.2">
      <c r="G2233" s="23"/>
      <c r="H2233" s="24"/>
      <c r="I2233" s="25"/>
    </row>
    <row r="2234" spans="7:9" x14ac:dyDescent="0.2">
      <c r="G2234" s="23"/>
      <c r="H2234" s="24"/>
      <c r="I2234" s="25"/>
    </row>
    <row r="2235" spans="7:9" x14ac:dyDescent="0.2">
      <c r="G2235" s="23"/>
      <c r="H2235" s="24"/>
      <c r="I2235" s="25"/>
    </row>
    <row r="2236" spans="7:9" x14ac:dyDescent="0.2">
      <c r="G2236" s="23"/>
      <c r="H2236" s="24"/>
      <c r="I2236" s="25"/>
    </row>
    <row r="2237" spans="7:9" x14ac:dyDescent="0.2">
      <c r="G2237" s="23"/>
      <c r="H2237" s="24"/>
      <c r="I2237" s="25"/>
    </row>
    <row r="2238" spans="7:9" x14ac:dyDescent="0.2">
      <c r="G2238" s="23"/>
      <c r="H2238" s="24"/>
      <c r="I2238" s="25"/>
    </row>
    <row r="2239" spans="7:9" x14ac:dyDescent="0.2">
      <c r="G2239" s="23"/>
      <c r="H2239" s="24"/>
      <c r="I2239" s="25"/>
    </row>
    <row r="2240" spans="7:9" x14ac:dyDescent="0.2">
      <c r="G2240" s="23"/>
      <c r="H2240" s="24"/>
      <c r="I2240" s="25"/>
    </row>
    <row r="2241" spans="7:9" x14ac:dyDescent="0.2">
      <c r="G2241" s="23"/>
      <c r="H2241" s="24"/>
      <c r="I2241" s="25"/>
    </row>
    <row r="2242" spans="7:9" x14ac:dyDescent="0.2">
      <c r="G2242" s="23"/>
      <c r="H2242" s="24"/>
      <c r="I2242" s="25"/>
    </row>
    <row r="2243" spans="7:9" x14ac:dyDescent="0.2">
      <c r="G2243" s="23"/>
      <c r="H2243" s="24"/>
      <c r="I2243" s="25"/>
    </row>
    <row r="2244" spans="7:9" x14ac:dyDescent="0.2">
      <c r="G2244" s="23"/>
      <c r="H2244" s="24"/>
      <c r="I2244" s="25"/>
    </row>
    <row r="2245" spans="7:9" x14ac:dyDescent="0.2">
      <c r="G2245" s="23"/>
      <c r="H2245" s="24"/>
      <c r="I2245" s="25"/>
    </row>
    <row r="2246" spans="7:9" x14ac:dyDescent="0.2">
      <c r="G2246" s="23"/>
      <c r="H2246" s="24"/>
      <c r="I2246" s="25"/>
    </row>
    <row r="2247" spans="7:9" x14ac:dyDescent="0.2">
      <c r="G2247" s="23"/>
      <c r="H2247" s="24"/>
      <c r="I2247" s="25"/>
    </row>
    <row r="2248" spans="7:9" x14ac:dyDescent="0.2">
      <c r="G2248" s="23"/>
      <c r="H2248" s="24"/>
      <c r="I2248" s="25"/>
    </row>
    <row r="2249" spans="7:9" x14ac:dyDescent="0.2">
      <c r="G2249" s="23"/>
      <c r="H2249" s="24"/>
      <c r="I2249" s="25"/>
    </row>
    <row r="2250" spans="7:9" x14ac:dyDescent="0.2">
      <c r="G2250" s="23"/>
      <c r="H2250" s="24"/>
      <c r="I2250" s="25"/>
    </row>
    <row r="2251" spans="7:9" x14ac:dyDescent="0.2">
      <c r="G2251" s="23"/>
      <c r="H2251" s="24"/>
      <c r="I2251" s="25"/>
    </row>
    <row r="2252" spans="7:9" x14ac:dyDescent="0.2">
      <c r="G2252" s="23"/>
      <c r="H2252" s="24"/>
      <c r="I2252" s="25"/>
    </row>
    <row r="2253" spans="7:9" x14ac:dyDescent="0.2">
      <c r="G2253" s="23"/>
      <c r="H2253" s="24"/>
      <c r="I2253" s="25"/>
    </row>
    <row r="2254" spans="7:9" x14ac:dyDescent="0.2">
      <c r="G2254" s="23"/>
      <c r="H2254" s="24"/>
      <c r="I2254" s="25"/>
    </row>
    <row r="2255" spans="7:9" x14ac:dyDescent="0.2">
      <c r="G2255" s="23"/>
      <c r="H2255" s="24"/>
      <c r="I2255" s="25"/>
    </row>
    <row r="2256" spans="7:9" x14ac:dyDescent="0.2">
      <c r="G2256" s="23"/>
      <c r="H2256" s="24"/>
      <c r="I2256" s="25"/>
    </row>
    <row r="2257" spans="7:9" x14ac:dyDescent="0.2">
      <c r="G2257" s="23"/>
      <c r="H2257" s="24"/>
      <c r="I2257" s="25"/>
    </row>
    <row r="2258" spans="7:9" x14ac:dyDescent="0.2">
      <c r="G2258" s="23"/>
      <c r="H2258" s="24"/>
      <c r="I2258" s="25"/>
    </row>
    <row r="2259" spans="7:9" x14ac:dyDescent="0.2">
      <c r="G2259" s="23"/>
      <c r="H2259" s="24"/>
      <c r="I2259" s="25"/>
    </row>
    <row r="2260" spans="7:9" x14ac:dyDescent="0.2">
      <c r="G2260" s="23"/>
      <c r="H2260" s="24"/>
      <c r="I2260" s="25"/>
    </row>
    <row r="2261" spans="7:9" x14ac:dyDescent="0.2">
      <c r="G2261" s="23"/>
      <c r="H2261" s="24"/>
      <c r="I2261" s="25"/>
    </row>
    <row r="2262" spans="7:9" x14ac:dyDescent="0.2">
      <c r="G2262" s="23"/>
      <c r="H2262" s="24"/>
      <c r="I2262" s="25"/>
    </row>
    <row r="2263" spans="7:9" x14ac:dyDescent="0.2">
      <c r="G2263" s="23"/>
      <c r="H2263" s="24"/>
      <c r="I2263" s="25"/>
    </row>
    <row r="2264" spans="7:9" x14ac:dyDescent="0.2">
      <c r="G2264" s="23"/>
      <c r="H2264" s="24"/>
      <c r="I2264" s="25"/>
    </row>
    <row r="2265" spans="7:9" x14ac:dyDescent="0.2">
      <c r="G2265" s="23"/>
      <c r="H2265" s="24"/>
      <c r="I2265" s="25"/>
    </row>
    <row r="2266" spans="7:9" x14ac:dyDescent="0.2">
      <c r="G2266" s="23"/>
      <c r="H2266" s="24"/>
      <c r="I2266" s="25"/>
    </row>
    <row r="2267" spans="7:9" x14ac:dyDescent="0.2">
      <c r="G2267" s="23"/>
      <c r="H2267" s="24"/>
      <c r="I2267" s="25"/>
    </row>
    <row r="2268" spans="7:9" x14ac:dyDescent="0.2">
      <c r="G2268" s="23"/>
      <c r="H2268" s="24"/>
      <c r="I2268" s="25"/>
    </row>
    <row r="2269" spans="7:9" x14ac:dyDescent="0.2">
      <c r="G2269" s="23"/>
      <c r="H2269" s="24"/>
      <c r="I2269" s="25"/>
    </row>
    <row r="2270" spans="7:9" x14ac:dyDescent="0.2">
      <c r="G2270" s="23"/>
      <c r="H2270" s="24"/>
      <c r="I2270" s="25"/>
    </row>
    <row r="2271" spans="7:9" x14ac:dyDescent="0.2">
      <c r="G2271" s="23"/>
      <c r="H2271" s="24"/>
      <c r="I2271" s="25"/>
    </row>
    <row r="2272" spans="7:9" x14ac:dyDescent="0.2">
      <c r="G2272" s="23"/>
      <c r="H2272" s="24"/>
      <c r="I2272" s="25"/>
    </row>
    <row r="2273" spans="7:9" x14ac:dyDescent="0.2">
      <c r="G2273" s="23"/>
      <c r="H2273" s="24"/>
      <c r="I2273" s="25"/>
    </row>
    <row r="2274" spans="7:9" x14ac:dyDescent="0.2">
      <c r="G2274" s="23"/>
      <c r="H2274" s="24"/>
      <c r="I2274" s="25"/>
    </row>
    <row r="2275" spans="7:9" x14ac:dyDescent="0.2">
      <c r="G2275" s="23"/>
      <c r="H2275" s="24"/>
      <c r="I2275" s="25"/>
    </row>
    <row r="2276" spans="7:9" x14ac:dyDescent="0.2">
      <c r="G2276" s="23"/>
      <c r="H2276" s="24"/>
      <c r="I2276" s="25"/>
    </row>
    <row r="2277" spans="7:9" x14ac:dyDescent="0.2">
      <c r="G2277" s="23"/>
      <c r="H2277" s="24"/>
      <c r="I2277" s="25"/>
    </row>
    <row r="2278" spans="7:9" x14ac:dyDescent="0.2">
      <c r="G2278" s="23"/>
      <c r="H2278" s="24"/>
      <c r="I2278" s="25"/>
    </row>
    <row r="2279" spans="7:9" x14ac:dyDescent="0.2">
      <c r="G2279" s="23"/>
      <c r="H2279" s="24"/>
      <c r="I2279" s="25"/>
    </row>
    <row r="2280" spans="7:9" x14ac:dyDescent="0.2">
      <c r="G2280" s="23"/>
      <c r="H2280" s="24"/>
      <c r="I2280" s="25"/>
    </row>
    <row r="2281" spans="7:9" x14ac:dyDescent="0.2">
      <c r="G2281" s="23"/>
      <c r="H2281" s="24"/>
      <c r="I2281" s="25"/>
    </row>
    <row r="2282" spans="7:9" x14ac:dyDescent="0.2">
      <c r="G2282" s="23"/>
      <c r="H2282" s="24"/>
      <c r="I2282" s="25"/>
    </row>
    <row r="2283" spans="7:9" x14ac:dyDescent="0.2">
      <c r="G2283" s="23"/>
      <c r="H2283" s="24"/>
      <c r="I2283" s="25"/>
    </row>
    <row r="2284" spans="7:9" x14ac:dyDescent="0.2">
      <c r="G2284" s="23"/>
      <c r="H2284" s="24"/>
      <c r="I2284" s="25"/>
    </row>
    <row r="2285" spans="7:9" x14ac:dyDescent="0.2">
      <c r="G2285" s="23"/>
      <c r="H2285" s="24"/>
      <c r="I2285" s="25"/>
    </row>
    <row r="2286" spans="7:9" x14ac:dyDescent="0.2">
      <c r="G2286" s="23"/>
      <c r="H2286" s="24"/>
      <c r="I2286" s="25"/>
    </row>
    <row r="2287" spans="7:9" x14ac:dyDescent="0.2">
      <c r="G2287" s="23"/>
      <c r="H2287" s="24"/>
      <c r="I2287" s="25"/>
    </row>
    <row r="2288" spans="7:9" x14ac:dyDescent="0.2">
      <c r="G2288" s="23"/>
      <c r="H2288" s="24"/>
      <c r="I2288" s="25"/>
    </row>
    <row r="2289" spans="7:9" x14ac:dyDescent="0.2">
      <c r="G2289" s="23"/>
      <c r="H2289" s="24"/>
      <c r="I2289" s="25"/>
    </row>
    <row r="2290" spans="7:9" x14ac:dyDescent="0.2">
      <c r="G2290" s="23"/>
      <c r="H2290" s="24"/>
      <c r="I2290" s="25"/>
    </row>
    <row r="2291" spans="7:9" x14ac:dyDescent="0.2">
      <c r="G2291" s="23"/>
      <c r="H2291" s="24"/>
      <c r="I2291" s="25"/>
    </row>
    <row r="2292" spans="7:9" x14ac:dyDescent="0.2">
      <c r="G2292" s="23"/>
      <c r="H2292" s="24"/>
      <c r="I2292" s="25"/>
    </row>
    <row r="2293" spans="7:9" x14ac:dyDescent="0.2">
      <c r="G2293" s="23"/>
      <c r="H2293" s="24"/>
      <c r="I2293" s="25"/>
    </row>
    <row r="2294" spans="7:9" x14ac:dyDescent="0.2">
      <c r="G2294" s="23"/>
      <c r="H2294" s="24"/>
      <c r="I2294" s="25"/>
    </row>
    <row r="2295" spans="7:9" x14ac:dyDescent="0.2">
      <c r="G2295" s="23"/>
      <c r="H2295" s="24"/>
      <c r="I2295" s="25"/>
    </row>
    <row r="2296" spans="7:9" x14ac:dyDescent="0.2">
      <c r="G2296" s="23"/>
      <c r="H2296" s="24"/>
      <c r="I2296" s="25"/>
    </row>
    <row r="2297" spans="7:9" x14ac:dyDescent="0.2">
      <c r="G2297" s="23"/>
      <c r="H2297" s="24"/>
      <c r="I2297" s="25"/>
    </row>
    <row r="2298" spans="7:9" x14ac:dyDescent="0.2">
      <c r="G2298" s="23"/>
      <c r="H2298" s="24"/>
      <c r="I2298" s="25"/>
    </row>
    <row r="2299" spans="7:9" x14ac:dyDescent="0.2">
      <c r="G2299" s="23"/>
      <c r="H2299" s="24"/>
      <c r="I2299" s="25"/>
    </row>
    <row r="2300" spans="7:9" x14ac:dyDescent="0.2">
      <c r="G2300" s="23"/>
      <c r="H2300" s="24"/>
      <c r="I2300" s="25"/>
    </row>
    <row r="2301" spans="7:9" x14ac:dyDescent="0.2">
      <c r="G2301" s="23"/>
      <c r="H2301" s="24"/>
      <c r="I2301" s="25"/>
    </row>
    <row r="2302" spans="7:9" x14ac:dyDescent="0.2">
      <c r="G2302" s="23"/>
      <c r="H2302" s="24"/>
      <c r="I2302" s="25"/>
    </row>
    <row r="2303" spans="7:9" x14ac:dyDescent="0.2">
      <c r="G2303" s="23"/>
      <c r="H2303" s="24"/>
      <c r="I2303" s="25"/>
    </row>
    <row r="2304" spans="7:9" x14ac:dyDescent="0.2">
      <c r="G2304" s="23"/>
      <c r="H2304" s="24"/>
      <c r="I2304" s="25"/>
    </row>
    <row r="2305" spans="7:9" x14ac:dyDescent="0.2">
      <c r="G2305" s="23"/>
      <c r="H2305" s="24"/>
      <c r="I2305" s="25"/>
    </row>
    <row r="2306" spans="7:9" x14ac:dyDescent="0.2">
      <c r="G2306" s="23"/>
      <c r="H2306" s="24"/>
      <c r="I2306" s="25"/>
    </row>
    <row r="2307" spans="7:9" x14ac:dyDescent="0.2">
      <c r="G2307" s="23"/>
      <c r="H2307" s="24"/>
      <c r="I2307" s="25"/>
    </row>
    <row r="2308" spans="7:9" x14ac:dyDescent="0.2">
      <c r="G2308" s="23"/>
      <c r="H2308" s="24"/>
      <c r="I2308" s="25"/>
    </row>
    <row r="2309" spans="7:9" x14ac:dyDescent="0.2">
      <c r="G2309" s="23"/>
      <c r="H2309" s="24"/>
      <c r="I2309" s="25"/>
    </row>
    <row r="2310" spans="7:9" x14ac:dyDescent="0.2">
      <c r="G2310" s="23"/>
      <c r="H2310" s="24"/>
      <c r="I2310" s="25"/>
    </row>
    <row r="2311" spans="7:9" x14ac:dyDescent="0.2">
      <c r="G2311" s="23"/>
      <c r="H2311" s="24"/>
      <c r="I2311" s="25"/>
    </row>
    <row r="2312" spans="7:9" x14ac:dyDescent="0.2">
      <c r="G2312" s="23"/>
      <c r="H2312" s="24"/>
      <c r="I2312" s="25"/>
    </row>
    <row r="2313" spans="7:9" x14ac:dyDescent="0.2">
      <c r="G2313" s="23"/>
      <c r="H2313" s="24"/>
      <c r="I2313" s="25"/>
    </row>
    <row r="2314" spans="7:9" x14ac:dyDescent="0.2">
      <c r="G2314" s="23"/>
      <c r="H2314" s="24"/>
      <c r="I2314" s="25"/>
    </row>
    <row r="2315" spans="7:9" x14ac:dyDescent="0.2">
      <c r="G2315" s="23"/>
      <c r="H2315" s="24"/>
      <c r="I2315" s="25"/>
    </row>
    <row r="2316" spans="7:9" x14ac:dyDescent="0.2">
      <c r="G2316" s="23"/>
      <c r="H2316" s="24"/>
      <c r="I2316" s="25"/>
    </row>
    <row r="2317" spans="7:9" x14ac:dyDescent="0.2">
      <c r="G2317" s="23"/>
      <c r="H2317" s="24"/>
      <c r="I2317" s="25"/>
    </row>
    <row r="2318" spans="7:9" x14ac:dyDescent="0.2">
      <c r="G2318" s="23"/>
      <c r="H2318" s="24"/>
      <c r="I2318" s="25"/>
    </row>
    <row r="2319" spans="7:9" x14ac:dyDescent="0.2">
      <c r="G2319" s="23"/>
      <c r="H2319" s="24"/>
      <c r="I2319" s="25"/>
    </row>
    <row r="2320" spans="7:9" x14ac:dyDescent="0.2">
      <c r="G2320" s="23"/>
      <c r="H2320" s="24"/>
      <c r="I2320" s="25"/>
    </row>
    <row r="2321" spans="7:9" x14ac:dyDescent="0.2">
      <c r="G2321" s="23"/>
      <c r="H2321" s="24"/>
      <c r="I2321" s="25"/>
    </row>
    <row r="2322" spans="7:9" x14ac:dyDescent="0.2">
      <c r="G2322" s="23"/>
      <c r="H2322" s="24"/>
      <c r="I2322" s="25"/>
    </row>
    <row r="2323" spans="7:9" x14ac:dyDescent="0.2">
      <c r="G2323" s="23"/>
      <c r="H2323" s="24"/>
      <c r="I2323" s="25"/>
    </row>
    <row r="2324" spans="7:9" x14ac:dyDescent="0.2">
      <c r="G2324" s="23"/>
      <c r="H2324" s="24"/>
      <c r="I2324" s="25"/>
    </row>
    <row r="2325" spans="7:9" x14ac:dyDescent="0.2">
      <c r="G2325" s="23"/>
      <c r="H2325" s="24"/>
      <c r="I2325" s="25"/>
    </row>
    <row r="2326" spans="7:9" x14ac:dyDescent="0.2">
      <c r="G2326" s="23"/>
      <c r="H2326" s="24"/>
      <c r="I2326" s="25"/>
    </row>
    <row r="2327" spans="7:9" x14ac:dyDescent="0.2">
      <c r="G2327" s="23"/>
      <c r="H2327" s="24"/>
      <c r="I2327" s="25"/>
    </row>
    <row r="2328" spans="7:9" x14ac:dyDescent="0.2">
      <c r="G2328" s="23"/>
      <c r="H2328" s="24"/>
      <c r="I2328" s="25"/>
    </row>
    <row r="2329" spans="7:9" x14ac:dyDescent="0.2">
      <c r="G2329" s="23"/>
      <c r="H2329" s="24"/>
      <c r="I2329" s="25"/>
    </row>
    <row r="2330" spans="7:9" x14ac:dyDescent="0.2">
      <c r="G2330" s="23"/>
      <c r="H2330" s="24"/>
      <c r="I2330" s="25"/>
    </row>
    <row r="2331" spans="7:9" x14ac:dyDescent="0.2">
      <c r="G2331" s="23"/>
      <c r="H2331" s="24"/>
      <c r="I2331" s="25"/>
    </row>
    <row r="2332" spans="7:9" x14ac:dyDescent="0.2">
      <c r="G2332" s="23"/>
      <c r="H2332" s="24"/>
      <c r="I2332" s="25"/>
    </row>
    <row r="2333" spans="7:9" x14ac:dyDescent="0.2">
      <c r="G2333" s="23"/>
      <c r="H2333" s="24"/>
      <c r="I2333" s="25"/>
    </row>
    <row r="2334" spans="7:9" x14ac:dyDescent="0.2">
      <c r="G2334" s="23"/>
      <c r="H2334" s="24"/>
      <c r="I2334" s="25"/>
    </row>
    <row r="2335" spans="7:9" x14ac:dyDescent="0.2">
      <c r="G2335" s="23"/>
      <c r="H2335" s="24"/>
      <c r="I2335" s="25"/>
    </row>
    <row r="2336" spans="7:9" x14ac:dyDescent="0.2">
      <c r="G2336" s="23"/>
      <c r="H2336" s="24"/>
      <c r="I2336" s="25"/>
    </row>
    <row r="2337" spans="7:9" x14ac:dyDescent="0.2">
      <c r="G2337" s="23"/>
      <c r="H2337" s="24"/>
      <c r="I2337" s="25"/>
    </row>
    <row r="2338" spans="7:9" x14ac:dyDescent="0.2">
      <c r="G2338" s="23"/>
      <c r="H2338" s="24"/>
      <c r="I2338" s="25"/>
    </row>
    <row r="2339" spans="7:9" x14ac:dyDescent="0.2">
      <c r="G2339" s="23"/>
      <c r="H2339" s="24"/>
      <c r="I2339" s="25"/>
    </row>
    <row r="2340" spans="7:9" x14ac:dyDescent="0.2">
      <c r="G2340" s="23"/>
      <c r="H2340" s="24"/>
      <c r="I2340" s="25"/>
    </row>
    <row r="2341" spans="7:9" x14ac:dyDescent="0.2">
      <c r="G2341" s="23"/>
      <c r="H2341" s="24"/>
      <c r="I2341" s="25"/>
    </row>
    <row r="2342" spans="7:9" x14ac:dyDescent="0.2">
      <c r="G2342" s="23"/>
      <c r="H2342" s="24"/>
      <c r="I2342" s="25"/>
    </row>
    <row r="2343" spans="7:9" x14ac:dyDescent="0.2">
      <c r="G2343" s="23"/>
      <c r="H2343" s="24"/>
      <c r="I2343" s="25"/>
    </row>
    <row r="2344" spans="7:9" x14ac:dyDescent="0.2">
      <c r="G2344" s="23"/>
      <c r="H2344" s="24"/>
      <c r="I2344" s="25"/>
    </row>
    <row r="2345" spans="7:9" x14ac:dyDescent="0.2">
      <c r="G2345" s="23"/>
      <c r="H2345" s="24"/>
      <c r="I2345" s="25"/>
    </row>
    <row r="2346" spans="7:9" x14ac:dyDescent="0.2">
      <c r="G2346" s="23"/>
      <c r="H2346" s="24"/>
      <c r="I2346" s="25"/>
    </row>
    <row r="2347" spans="7:9" x14ac:dyDescent="0.2">
      <c r="G2347" s="23"/>
      <c r="H2347" s="24"/>
      <c r="I2347" s="25"/>
    </row>
    <row r="2348" spans="7:9" x14ac:dyDescent="0.2">
      <c r="G2348" s="23"/>
      <c r="H2348" s="24"/>
      <c r="I2348" s="25"/>
    </row>
    <row r="2349" spans="7:9" x14ac:dyDescent="0.2">
      <c r="G2349" s="23"/>
      <c r="H2349" s="24"/>
      <c r="I2349" s="25"/>
    </row>
    <row r="2350" spans="7:9" x14ac:dyDescent="0.2">
      <c r="G2350" s="23"/>
      <c r="H2350" s="24"/>
      <c r="I2350" s="25"/>
    </row>
    <row r="2351" spans="7:9" x14ac:dyDescent="0.2">
      <c r="G2351" s="23"/>
      <c r="H2351" s="24"/>
      <c r="I2351" s="25"/>
    </row>
    <row r="2352" spans="7:9" x14ac:dyDescent="0.2">
      <c r="G2352" s="23"/>
      <c r="H2352" s="24"/>
      <c r="I2352" s="25"/>
    </row>
    <row r="2353" spans="7:9" x14ac:dyDescent="0.2">
      <c r="G2353" s="23"/>
      <c r="H2353" s="24"/>
      <c r="I2353" s="25"/>
    </row>
    <row r="2354" spans="7:9" x14ac:dyDescent="0.2">
      <c r="G2354" s="23"/>
      <c r="H2354" s="24"/>
      <c r="I2354" s="25"/>
    </row>
    <row r="2355" spans="7:9" x14ac:dyDescent="0.2">
      <c r="G2355" s="23"/>
      <c r="H2355" s="24"/>
      <c r="I2355" s="25"/>
    </row>
    <row r="2356" spans="7:9" x14ac:dyDescent="0.2">
      <c r="G2356" s="23"/>
      <c r="H2356" s="24"/>
      <c r="I2356" s="25"/>
    </row>
    <row r="2357" spans="7:9" x14ac:dyDescent="0.2">
      <c r="G2357" s="23"/>
      <c r="H2357" s="24"/>
      <c r="I2357" s="25"/>
    </row>
    <row r="2358" spans="7:9" x14ac:dyDescent="0.2">
      <c r="G2358" s="23"/>
      <c r="H2358" s="24"/>
      <c r="I2358" s="25"/>
    </row>
    <row r="2359" spans="7:9" x14ac:dyDescent="0.2">
      <c r="G2359" s="23"/>
      <c r="H2359" s="24"/>
      <c r="I2359" s="25"/>
    </row>
    <row r="2360" spans="7:9" x14ac:dyDescent="0.2">
      <c r="G2360" s="23"/>
      <c r="H2360" s="24"/>
      <c r="I2360" s="25"/>
    </row>
    <row r="2361" spans="7:9" x14ac:dyDescent="0.2">
      <c r="G2361" s="23"/>
      <c r="H2361" s="24"/>
      <c r="I2361" s="25"/>
    </row>
    <row r="2362" spans="7:9" x14ac:dyDescent="0.2">
      <c r="G2362" s="23"/>
      <c r="H2362" s="24"/>
      <c r="I2362" s="25"/>
    </row>
    <row r="2363" spans="7:9" x14ac:dyDescent="0.2">
      <c r="G2363" s="23"/>
      <c r="H2363" s="24"/>
      <c r="I2363" s="25"/>
    </row>
    <row r="2364" spans="7:9" x14ac:dyDescent="0.2">
      <c r="G2364" s="23"/>
      <c r="H2364" s="24"/>
      <c r="I2364" s="25"/>
    </row>
    <row r="2365" spans="7:9" x14ac:dyDescent="0.2">
      <c r="G2365" s="23"/>
      <c r="H2365" s="24"/>
      <c r="I2365" s="25"/>
    </row>
    <row r="2366" spans="7:9" x14ac:dyDescent="0.2">
      <c r="G2366" s="23"/>
      <c r="H2366" s="24"/>
      <c r="I2366" s="25"/>
    </row>
    <row r="2367" spans="7:9" x14ac:dyDescent="0.2">
      <c r="G2367" s="23"/>
      <c r="H2367" s="24"/>
      <c r="I2367" s="25"/>
    </row>
    <row r="2368" spans="7:9" x14ac:dyDescent="0.2">
      <c r="G2368" s="23"/>
      <c r="H2368" s="24"/>
      <c r="I2368" s="25"/>
    </row>
    <row r="2369" spans="7:9" x14ac:dyDescent="0.2">
      <c r="G2369" s="23"/>
      <c r="H2369" s="24"/>
      <c r="I2369" s="25"/>
    </row>
    <row r="2370" spans="7:9" x14ac:dyDescent="0.2">
      <c r="G2370" s="23"/>
      <c r="H2370" s="24"/>
      <c r="I2370" s="25"/>
    </row>
    <row r="2371" spans="7:9" x14ac:dyDescent="0.2">
      <c r="G2371" s="23"/>
      <c r="H2371" s="24"/>
      <c r="I2371" s="25"/>
    </row>
    <row r="2372" spans="7:9" x14ac:dyDescent="0.2">
      <c r="G2372" s="23"/>
      <c r="H2372" s="24"/>
      <c r="I2372" s="25"/>
    </row>
    <row r="2373" spans="7:9" x14ac:dyDescent="0.2">
      <c r="G2373" s="23"/>
      <c r="H2373" s="24"/>
      <c r="I2373" s="25"/>
    </row>
    <row r="2374" spans="7:9" x14ac:dyDescent="0.2">
      <c r="G2374" s="23"/>
      <c r="H2374" s="24"/>
      <c r="I2374" s="25"/>
    </row>
    <row r="2375" spans="7:9" x14ac:dyDescent="0.2">
      <c r="G2375" s="23"/>
      <c r="H2375" s="24"/>
      <c r="I2375" s="25"/>
    </row>
    <row r="2376" spans="7:9" x14ac:dyDescent="0.2">
      <c r="G2376" s="23"/>
      <c r="H2376" s="24"/>
      <c r="I2376" s="25"/>
    </row>
    <row r="2377" spans="7:9" x14ac:dyDescent="0.2">
      <c r="G2377" s="23"/>
      <c r="H2377" s="24"/>
      <c r="I2377" s="25"/>
    </row>
    <row r="2378" spans="7:9" x14ac:dyDescent="0.2">
      <c r="G2378" s="23"/>
      <c r="H2378" s="24"/>
      <c r="I2378" s="25"/>
    </row>
    <row r="2379" spans="7:9" x14ac:dyDescent="0.2">
      <c r="G2379" s="23"/>
      <c r="H2379" s="24"/>
      <c r="I2379" s="25"/>
    </row>
    <row r="2380" spans="7:9" x14ac:dyDescent="0.2">
      <c r="G2380" s="23"/>
      <c r="H2380" s="24"/>
      <c r="I2380" s="25"/>
    </row>
    <row r="2381" spans="7:9" x14ac:dyDescent="0.2">
      <c r="G2381" s="23"/>
      <c r="H2381" s="24"/>
      <c r="I2381" s="25"/>
    </row>
    <row r="2382" spans="7:9" x14ac:dyDescent="0.2">
      <c r="G2382" s="23"/>
      <c r="H2382" s="24"/>
      <c r="I2382" s="25"/>
    </row>
    <row r="2383" spans="7:9" x14ac:dyDescent="0.2">
      <c r="G2383" s="23"/>
      <c r="H2383" s="24"/>
      <c r="I2383" s="25"/>
    </row>
    <row r="2384" spans="7:9" x14ac:dyDescent="0.2">
      <c r="G2384" s="23"/>
      <c r="H2384" s="24"/>
      <c r="I2384" s="25"/>
    </row>
    <row r="2385" spans="7:9" x14ac:dyDescent="0.2">
      <c r="G2385" s="23"/>
      <c r="H2385" s="24"/>
      <c r="I2385" s="25"/>
    </row>
    <row r="2386" spans="7:9" x14ac:dyDescent="0.2">
      <c r="G2386" s="23"/>
      <c r="H2386" s="24"/>
      <c r="I2386" s="25"/>
    </row>
    <row r="2387" spans="7:9" x14ac:dyDescent="0.2">
      <c r="G2387" s="23"/>
      <c r="H2387" s="24"/>
      <c r="I2387" s="25"/>
    </row>
    <row r="2388" spans="7:9" x14ac:dyDescent="0.2">
      <c r="G2388" s="23"/>
      <c r="H2388" s="24"/>
      <c r="I2388" s="25"/>
    </row>
    <row r="2389" spans="7:9" x14ac:dyDescent="0.2">
      <c r="G2389" s="23"/>
      <c r="H2389" s="24"/>
      <c r="I2389" s="25"/>
    </row>
    <row r="2390" spans="7:9" x14ac:dyDescent="0.2">
      <c r="G2390" s="23"/>
      <c r="H2390" s="24"/>
      <c r="I2390" s="25"/>
    </row>
    <row r="2391" spans="7:9" x14ac:dyDescent="0.2">
      <c r="G2391" s="23"/>
      <c r="H2391" s="24"/>
      <c r="I2391" s="25"/>
    </row>
    <row r="2392" spans="7:9" x14ac:dyDescent="0.2">
      <c r="G2392" s="23"/>
      <c r="H2392" s="24"/>
      <c r="I2392" s="25"/>
    </row>
    <row r="2393" spans="7:9" x14ac:dyDescent="0.2">
      <c r="G2393" s="23"/>
      <c r="H2393" s="24"/>
      <c r="I2393" s="25"/>
    </row>
    <row r="2394" spans="7:9" x14ac:dyDescent="0.2">
      <c r="G2394" s="23"/>
      <c r="H2394" s="24"/>
      <c r="I2394" s="25"/>
    </row>
    <row r="2395" spans="7:9" x14ac:dyDescent="0.2">
      <c r="G2395" s="23"/>
      <c r="H2395" s="24"/>
      <c r="I2395" s="25"/>
    </row>
    <row r="2396" spans="7:9" x14ac:dyDescent="0.2">
      <c r="G2396" s="23"/>
      <c r="H2396" s="24"/>
      <c r="I2396" s="25"/>
    </row>
    <row r="2397" spans="7:9" x14ac:dyDescent="0.2">
      <c r="G2397" s="23"/>
      <c r="H2397" s="24"/>
      <c r="I2397" s="25"/>
    </row>
    <row r="2398" spans="7:9" x14ac:dyDescent="0.2">
      <c r="G2398" s="23"/>
      <c r="H2398" s="24"/>
      <c r="I2398" s="25"/>
    </row>
    <row r="2399" spans="7:9" x14ac:dyDescent="0.2">
      <c r="G2399" s="23"/>
      <c r="H2399" s="24"/>
      <c r="I2399" s="25"/>
    </row>
    <row r="2400" spans="7:9" x14ac:dyDescent="0.2">
      <c r="G2400" s="23"/>
      <c r="H2400" s="24"/>
      <c r="I2400" s="25"/>
    </row>
    <row r="2401" spans="7:9" x14ac:dyDescent="0.2">
      <c r="G2401" s="23"/>
      <c r="H2401" s="24"/>
      <c r="I2401" s="25"/>
    </row>
    <row r="2402" spans="7:9" x14ac:dyDescent="0.2">
      <c r="G2402" s="23"/>
      <c r="H2402" s="24"/>
      <c r="I2402" s="25"/>
    </row>
    <row r="2403" spans="7:9" x14ac:dyDescent="0.2">
      <c r="G2403" s="23"/>
      <c r="H2403" s="24"/>
      <c r="I2403" s="25"/>
    </row>
    <row r="2404" spans="7:9" x14ac:dyDescent="0.2">
      <c r="G2404" s="23"/>
      <c r="H2404" s="24"/>
      <c r="I2404" s="25"/>
    </row>
    <row r="2405" spans="7:9" x14ac:dyDescent="0.2">
      <c r="G2405" s="23"/>
      <c r="H2405" s="24"/>
      <c r="I2405" s="25"/>
    </row>
    <row r="2406" spans="7:9" x14ac:dyDescent="0.2">
      <c r="G2406" s="23"/>
      <c r="H2406" s="24"/>
      <c r="I2406" s="25"/>
    </row>
    <row r="2407" spans="7:9" x14ac:dyDescent="0.2">
      <c r="G2407" s="23"/>
      <c r="H2407" s="24"/>
      <c r="I2407" s="25"/>
    </row>
    <row r="2408" spans="7:9" x14ac:dyDescent="0.2">
      <c r="G2408" s="23"/>
      <c r="H2408" s="24"/>
      <c r="I2408" s="25"/>
    </row>
    <row r="2409" spans="7:9" x14ac:dyDescent="0.2">
      <c r="G2409" s="23"/>
      <c r="H2409" s="24"/>
      <c r="I2409" s="25"/>
    </row>
    <row r="2410" spans="7:9" x14ac:dyDescent="0.2">
      <c r="G2410" s="23"/>
      <c r="H2410" s="24"/>
      <c r="I2410" s="25"/>
    </row>
    <row r="2411" spans="7:9" x14ac:dyDescent="0.2">
      <c r="G2411" s="23"/>
      <c r="H2411" s="24"/>
      <c r="I2411" s="25"/>
    </row>
    <row r="2412" spans="7:9" x14ac:dyDescent="0.2">
      <c r="G2412" s="23"/>
      <c r="H2412" s="24"/>
      <c r="I2412" s="25"/>
    </row>
    <row r="2413" spans="7:9" x14ac:dyDescent="0.2">
      <c r="G2413" s="23"/>
      <c r="H2413" s="24"/>
      <c r="I2413" s="25"/>
    </row>
    <row r="2414" spans="7:9" x14ac:dyDescent="0.2">
      <c r="G2414" s="23"/>
      <c r="H2414" s="24"/>
      <c r="I2414" s="25"/>
    </row>
    <row r="2415" spans="7:9" x14ac:dyDescent="0.2">
      <c r="G2415" s="23"/>
      <c r="H2415" s="24"/>
      <c r="I2415" s="25"/>
    </row>
    <row r="2416" spans="7:9" x14ac:dyDescent="0.2">
      <c r="G2416" s="23"/>
      <c r="H2416" s="24"/>
      <c r="I2416" s="25"/>
    </row>
    <row r="2417" spans="7:9" x14ac:dyDescent="0.2">
      <c r="G2417" s="23"/>
      <c r="H2417" s="24"/>
      <c r="I2417" s="25"/>
    </row>
    <row r="2418" spans="7:9" x14ac:dyDescent="0.2">
      <c r="G2418" s="23"/>
      <c r="H2418" s="24"/>
      <c r="I2418" s="25"/>
    </row>
    <row r="2419" spans="7:9" x14ac:dyDescent="0.2">
      <c r="G2419" s="23"/>
      <c r="H2419" s="24"/>
      <c r="I2419" s="25"/>
    </row>
    <row r="2420" spans="7:9" x14ac:dyDescent="0.2">
      <c r="G2420" s="23"/>
      <c r="H2420" s="24"/>
      <c r="I2420" s="25"/>
    </row>
    <row r="2421" spans="7:9" x14ac:dyDescent="0.2">
      <c r="G2421" s="23"/>
      <c r="H2421" s="24"/>
      <c r="I2421" s="25"/>
    </row>
    <row r="2422" spans="7:9" x14ac:dyDescent="0.2">
      <c r="G2422" s="23"/>
      <c r="H2422" s="24"/>
      <c r="I2422" s="25"/>
    </row>
    <row r="2423" spans="7:9" x14ac:dyDescent="0.2">
      <c r="G2423" s="23"/>
      <c r="H2423" s="24"/>
      <c r="I2423" s="25"/>
    </row>
    <row r="2424" spans="7:9" x14ac:dyDescent="0.2">
      <c r="G2424" s="23"/>
      <c r="H2424" s="24"/>
      <c r="I2424" s="25"/>
    </row>
    <row r="2425" spans="7:9" x14ac:dyDescent="0.2">
      <c r="G2425" s="23"/>
      <c r="H2425" s="24"/>
      <c r="I2425" s="25"/>
    </row>
    <row r="2426" spans="7:9" x14ac:dyDescent="0.2">
      <c r="G2426" s="23"/>
      <c r="H2426" s="24"/>
      <c r="I2426" s="25"/>
    </row>
    <row r="2427" spans="7:9" x14ac:dyDescent="0.2">
      <c r="G2427" s="23"/>
      <c r="H2427" s="24"/>
      <c r="I2427" s="25"/>
    </row>
    <row r="2428" spans="7:9" x14ac:dyDescent="0.2">
      <c r="G2428" s="23"/>
      <c r="H2428" s="24"/>
      <c r="I2428" s="25"/>
    </row>
    <row r="2429" spans="7:9" x14ac:dyDescent="0.2">
      <c r="G2429" s="23"/>
      <c r="H2429" s="24"/>
      <c r="I2429" s="25"/>
    </row>
    <row r="2430" spans="7:9" x14ac:dyDescent="0.2">
      <c r="G2430" s="23"/>
      <c r="H2430" s="24"/>
      <c r="I2430" s="25"/>
    </row>
    <row r="2431" spans="7:9" x14ac:dyDescent="0.2">
      <c r="G2431" s="23"/>
      <c r="H2431" s="24"/>
      <c r="I2431" s="25"/>
    </row>
    <row r="2432" spans="7:9" x14ac:dyDescent="0.2">
      <c r="G2432" s="23"/>
      <c r="H2432" s="24"/>
      <c r="I2432" s="25"/>
    </row>
    <row r="2433" spans="7:9" x14ac:dyDescent="0.2">
      <c r="G2433" s="23"/>
      <c r="H2433" s="24"/>
      <c r="I2433" s="25"/>
    </row>
    <row r="2434" spans="7:9" x14ac:dyDescent="0.2">
      <c r="G2434" s="23"/>
      <c r="H2434" s="24"/>
      <c r="I2434" s="25"/>
    </row>
    <row r="2435" spans="7:9" x14ac:dyDescent="0.2">
      <c r="G2435" s="23"/>
      <c r="H2435" s="24"/>
      <c r="I2435" s="25"/>
    </row>
    <row r="2436" spans="7:9" x14ac:dyDescent="0.2">
      <c r="G2436" s="23"/>
      <c r="H2436" s="24"/>
      <c r="I2436" s="25"/>
    </row>
    <row r="2437" spans="7:9" x14ac:dyDescent="0.2">
      <c r="G2437" s="23"/>
      <c r="H2437" s="24"/>
      <c r="I2437" s="25"/>
    </row>
    <row r="2438" spans="7:9" x14ac:dyDescent="0.2">
      <c r="G2438" s="23"/>
      <c r="H2438" s="24"/>
      <c r="I2438" s="25"/>
    </row>
    <row r="2439" spans="7:9" x14ac:dyDescent="0.2">
      <c r="G2439" s="23"/>
      <c r="H2439" s="24"/>
      <c r="I2439" s="25"/>
    </row>
    <row r="2440" spans="7:9" x14ac:dyDescent="0.2">
      <c r="G2440" s="23"/>
      <c r="H2440" s="24"/>
      <c r="I2440" s="25"/>
    </row>
    <row r="2441" spans="7:9" x14ac:dyDescent="0.2">
      <c r="G2441" s="23"/>
      <c r="H2441" s="24"/>
      <c r="I2441" s="25"/>
    </row>
    <row r="2442" spans="7:9" x14ac:dyDescent="0.2">
      <c r="G2442" s="23"/>
      <c r="H2442" s="24"/>
      <c r="I2442" s="25"/>
    </row>
    <row r="2443" spans="7:9" x14ac:dyDescent="0.2">
      <c r="G2443" s="23"/>
      <c r="H2443" s="24"/>
      <c r="I2443" s="25"/>
    </row>
    <row r="2444" spans="7:9" x14ac:dyDescent="0.2">
      <c r="G2444" s="23"/>
      <c r="H2444" s="24"/>
      <c r="I2444" s="25"/>
    </row>
    <row r="2445" spans="7:9" x14ac:dyDescent="0.2">
      <c r="G2445" s="23"/>
      <c r="H2445" s="24"/>
      <c r="I2445" s="25"/>
    </row>
    <row r="2446" spans="7:9" x14ac:dyDescent="0.2">
      <c r="G2446" s="23"/>
      <c r="H2446" s="24"/>
      <c r="I2446" s="25"/>
    </row>
    <row r="2447" spans="7:9" x14ac:dyDescent="0.2">
      <c r="G2447" s="23"/>
      <c r="H2447" s="24"/>
      <c r="I2447" s="25"/>
    </row>
    <row r="2448" spans="7:9" x14ac:dyDescent="0.2">
      <c r="G2448" s="23"/>
      <c r="H2448" s="24"/>
      <c r="I2448" s="25"/>
    </row>
    <row r="2449" spans="7:9" x14ac:dyDescent="0.2">
      <c r="G2449" s="23"/>
      <c r="H2449" s="24"/>
      <c r="I2449" s="25"/>
    </row>
    <row r="2450" spans="7:9" x14ac:dyDescent="0.2">
      <c r="G2450" s="23"/>
      <c r="H2450" s="24"/>
      <c r="I2450" s="25"/>
    </row>
    <row r="2451" spans="7:9" x14ac:dyDescent="0.2">
      <c r="G2451" s="23"/>
      <c r="H2451" s="24"/>
      <c r="I2451" s="25"/>
    </row>
    <row r="2452" spans="7:9" x14ac:dyDescent="0.2">
      <c r="G2452" s="23"/>
      <c r="H2452" s="24"/>
      <c r="I2452" s="25"/>
    </row>
    <row r="2453" spans="7:9" x14ac:dyDescent="0.2">
      <c r="G2453" s="23"/>
      <c r="H2453" s="24"/>
      <c r="I2453" s="25"/>
    </row>
    <row r="2454" spans="7:9" x14ac:dyDescent="0.2">
      <c r="G2454" s="23"/>
      <c r="H2454" s="24"/>
      <c r="I2454" s="25"/>
    </row>
    <row r="2455" spans="7:9" x14ac:dyDescent="0.2">
      <c r="G2455" s="23"/>
      <c r="H2455" s="24"/>
      <c r="I2455" s="25"/>
    </row>
    <row r="2456" spans="7:9" x14ac:dyDescent="0.2">
      <c r="G2456" s="23"/>
      <c r="H2456" s="24"/>
      <c r="I2456" s="25"/>
    </row>
    <row r="2457" spans="7:9" x14ac:dyDescent="0.2">
      <c r="G2457" s="23"/>
      <c r="H2457" s="24"/>
      <c r="I2457" s="25"/>
    </row>
    <row r="2458" spans="7:9" x14ac:dyDescent="0.2">
      <c r="G2458" s="23"/>
      <c r="H2458" s="24"/>
      <c r="I2458" s="25"/>
    </row>
    <row r="2459" spans="7:9" x14ac:dyDescent="0.2">
      <c r="G2459" s="23"/>
      <c r="H2459" s="24"/>
      <c r="I2459" s="25"/>
    </row>
    <row r="2460" spans="7:9" x14ac:dyDescent="0.2">
      <c r="G2460" s="23"/>
      <c r="H2460" s="24"/>
      <c r="I2460" s="25"/>
    </row>
    <row r="2461" spans="7:9" x14ac:dyDescent="0.2">
      <c r="G2461" s="23"/>
      <c r="H2461" s="24"/>
      <c r="I2461" s="25"/>
    </row>
    <row r="2462" spans="7:9" x14ac:dyDescent="0.2">
      <c r="G2462" s="23"/>
      <c r="H2462" s="24"/>
      <c r="I2462" s="25"/>
    </row>
    <row r="2463" spans="7:9" x14ac:dyDescent="0.2">
      <c r="G2463" s="23"/>
      <c r="H2463" s="24"/>
      <c r="I2463" s="25"/>
    </row>
    <row r="2464" spans="7:9" x14ac:dyDescent="0.2">
      <c r="G2464" s="23"/>
      <c r="H2464" s="24"/>
      <c r="I2464" s="25"/>
    </row>
    <row r="2465" spans="7:9" x14ac:dyDescent="0.2">
      <c r="G2465" s="23"/>
      <c r="H2465" s="24"/>
      <c r="I2465" s="25"/>
    </row>
    <row r="2466" spans="7:9" x14ac:dyDescent="0.2">
      <c r="G2466" s="23"/>
      <c r="H2466" s="24"/>
      <c r="I2466" s="25"/>
    </row>
    <row r="2467" spans="7:9" x14ac:dyDescent="0.2">
      <c r="G2467" s="23"/>
      <c r="H2467" s="24"/>
      <c r="I2467" s="25"/>
    </row>
    <row r="2468" spans="7:9" x14ac:dyDescent="0.2">
      <c r="G2468" s="23"/>
      <c r="H2468" s="24"/>
      <c r="I2468" s="25"/>
    </row>
    <row r="2469" spans="7:9" x14ac:dyDescent="0.2">
      <c r="G2469" s="23"/>
      <c r="H2469" s="24"/>
      <c r="I2469" s="25"/>
    </row>
    <row r="2470" spans="7:9" x14ac:dyDescent="0.2">
      <c r="G2470" s="23"/>
      <c r="H2470" s="24"/>
      <c r="I2470" s="25"/>
    </row>
    <row r="2471" spans="7:9" x14ac:dyDescent="0.2">
      <c r="G2471" s="23"/>
      <c r="H2471" s="24"/>
      <c r="I2471" s="25"/>
    </row>
    <row r="2472" spans="7:9" x14ac:dyDescent="0.2">
      <c r="G2472" s="23"/>
      <c r="H2472" s="24"/>
      <c r="I2472" s="25"/>
    </row>
    <row r="2473" spans="7:9" x14ac:dyDescent="0.2">
      <c r="G2473" s="23"/>
      <c r="H2473" s="24"/>
      <c r="I2473" s="25"/>
    </row>
    <row r="2474" spans="7:9" x14ac:dyDescent="0.2">
      <c r="G2474" s="23"/>
      <c r="H2474" s="24"/>
      <c r="I2474" s="25"/>
    </row>
    <row r="2475" spans="7:9" x14ac:dyDescent="0.2">
      <c r="G2475" s="23"/>
      <c r="H2475" s="24"/>
      <c r="I2475" s="25"/>
    </row>
    <row r="2476" spans="7:9" x14ac:dyDescent="0.2">
      <c r="G2476" s="23"/>
      <c r="H2476" s="24"/>
      <c r="I2476" s="25"/>
    </row>
    <row r="2477" spans="7:9" x14ac:dyDescent="0.2">
      <c r="G2477" s="23"/>
      <c r="H2477" s="24"/>
      <c r="I2477" s="25"/>
    </row>
    <row r="2478" spans="7:9" x14ac:dyDescent="0.2">
      <c r="G2478" s="23"/>
      <c r="H2478" s="24"/>
      <c r="I2478" s="25"/>
    </row>
    <row r="2479" spans="7:9" x14ac:dyDescent="0.2">
      <c r="G2479" s="23"/>
      <c r="H2479" s="24"/>
      <c r="I2479" s="25"/>
    </row>
    <row r="2480" spans="7:9" x14ac:dyDescent="0.2">
      <c r="G2480" s="23"/>
      <c r="H2480" s="24"/>
      <c r="I2480" s="25"/>
    </row>
    <row r="2481" spans="7:9" x14ac:dyDescent="0.2">
      <c r="G2481" s="23"/>
      <c r="H2481" s="24"/>
      <c r="I2481" s="25"/>
    </row>
    <row r="2482" spans="7:9" x14ac:dyDescent="0.2">
      <c r="G2482" s="23"/>
      <c r="H2482" s="24"/>
      <c r="I2482" s="25"/>
    </row>
    <row r="2483" spans="7:9" x14ac:dyDescent="0.2">
      <c r="G2483" s="23"/>
      <c r="H2483" s="24"/>
      <c r="I2483" s="25"/>
    </row>
    <row r="2484" spans="7:9" x14ac:dyDescent="0.2">
      <c r="G2484" s="23"/>
      <c r="H2484" s="24"/>
      <c r="I2484" s="25"/>
    </row>
    <row r="2485" spans="7:9" x14ac:dyDescent="0.2">
      <c r="G2485" s="23"/>
      <c r="H2485" s="24"/>
      <c r="I2485" s="25"/>
    </row>
    <row r="2486" spans="7:9" x14ac:dyDescent="0.2">
      <c r="G2486" s="23"/>
      <c r="H2486" s="24"/>
      <c r="I2486" s="25"/>
    </row>
    <row r="2487" spans="7:9" x14ac:dyDescent="0.2">
      <c r="G2487" s="23"/>
      <c r="H2487" s="24"/>
      <c r="I2487" s="25"/>
    </row>
    <row r="2488" spans="7:9" x14ac:dyDescent="0.2">
      <c r="G2488" s="23"/>
      <c r="H2488" s="24"/>
      <c r="I2488" s="25"/>
    </row>
    <row r="2489" spans="7:9" x14ac:dyDescent="0.2">
      <c r="G2489" s="23"/>
      <c r="H2489" s="24"/>
      <c r="I2489" s="25"/>
    </row>
    <row r="2490" spans="7:9" x14ac:dyDescent="0.2">
      <c r="G2490" s="23"/>
      <c r="H2490" s="24"/>
      <c r="I2490" s="25"/>
    </row>
    <row r="2491" spans="7:9" x14ac:dyDescent="0.2">
      <c r="G2491" s="23"/>
      <c r="H2491" s="24"/>
      <c r="I2491" s="25"/>
    </row>
    <row r="2492" spans="7:9" x14ac:dyDescent="0.2">
      <c r="G2492" s="23"/>
      <c r="H2492" s="24"/>
      <c r="I2492" s="25"/>
    </row>
    <row r="2493" spans="7:9" x14ac:dyDescent="0.2">
      <c r="G2493" s="23"/>
      <c r="H2493" s="24"/>
      <c r="I2493" s="25"/>
    </row>
    <row r="2494" spans="7:9" x14ac:dyDescent="0.2">
      <c r="G2494" s="23"/>
      <c r="H2494" s="24"/>
      <c r="I2494" s="25"/>
    </row>
    <row r="2495" spans="7:9" x14ac:dyDescent="0.2">
      <c r="G2495" s="23"/>
      <c r="H2495" s="24"/>
      <c r="I2495" s="25"/>
    </row>
    <row r="2496" spans="7:9" x14ac:dyDescent="0.2">
      <c r="G2496" s="23"/>
      <c r="H2496" s="24"/>
      <c r="I2496" s="25"/>
    </row>
    <row r="2497" spans="7:9" x14ac:dyDescent="0.2">
      <c r="G2497" s="23"/>
      <c r="H2497" s="24"/>
      <c r="I2497" s="25"/>
    </row>
    <row r="2498" spans="7:9" x14ac:dyDescent="0.2">
      <c r="G2498" s="23"/>
      <c r="H2498" s="24"/>
      <c r="I2498" s="25"/>
    </row>
    <row r="2499" spans="7:9" x14ac:dyDescent="0.2">
      <c r="G2499" s="23"/>
      <c r="H2499" s="24"/>
      <c r="I2499" s="25"/>
    </row>
    <row r="2500" spans="7:9" x14ac:dyDescent="0.2">
      <c r="G2500" s="23"/>
      <c r="H2500" s="24"/>
      <c r="I2500" s="25"/>
    </row>
    <row r="2501" spans="7:9" x14ac:dyDescent="0.2">
      <c r="G2501" s="23"/>
      <c r="H2501" s="24"/>
      <c r="I2501" s="25"/>
    </row>
    <row r="2502" spans="7:9" x14ac:dyDescent="0.2">
      <c r="G2502" s="23"/>
      <c r="H2502" s="24"/>
      <c r="I2502" s="25"/>
    </row>
    <row r="2503" spans="7:9" x14ac:dyDescent="0.2">
      <c r="G2503" s="23"/>
      <c r="H2503" s="24"/>
      <c r="I2503" s="25"/>
    </row>
    <row r="2504" spans="7:9" x14ac:dyDescent="0.2">
      <c r="G2504" s="23"/>
      <c r="H2504" s="24"/>
      <c r="I2504" s="25"/>
    </row>
    <row r="2505" spans="7:9" x14ac:dyDescent="0.2">
      <c r="G2505" s="23"/>
      <c r="H2505" s="24"/>
      <c r="I2505" s="25"/>
    </row>
    <row r="2506" spans="7:9" x14ac:dyDescent="0.2">
      <c r="G2506" s="23"/>
      <c r="H2506" s="24"/>
      <c r="I2506" s="25"/>
    </row>
    <row r="2507" spans="7:9" x14ac:dyDescent="0.2">
      <c r="G2507" s="23"/>
      <c r="H2507" s="24"/>
      <c r="I2507" s="25"/>
    </row>
    <row r="2508" spans="7:9" x14ac:dyDescent="0.2">
      <c r="G2508" s="23"/>
      <c r="H2508" s="24"/>
      <c r="I2508" s="25"/>
    </row>
    <row r="2509" spans="7:9" x14ac:dyDescent="0.2">
      <c r="G2509" s="23"/>
      <c r="H2509" s="24"/>
      <c r="I2509" s="25"/>
    </row>
    <row r="2510" spans="7:9" x14ac:dyDescent="0.2">
      <c r="G2510" s="23"/>
      <c r="H2510" s="24"/>
      <c r="I2510" s="25"/>
    </row>
    <row r="2511" spans="7:9" x14ac:dyDescent="0.2">
      <c r="G2511" s="23"/>
      <c r="H2511" s="24"/>
      <c r="I2511" s="25"/>
    </row>
    <row r="2512" spans="7:9" x14ac:dyDescent="0.2">
      <c r="G2512" s="23"/>
      <c r="H2512" s="24"/>
      <c r="I2512" s="25"/>
    </row>
    <row r="2513" spans="7:9" x14ac:dyDescent="0.2">
      <c r="G2513" s="23"/>
      <c r="H2513" s="24"/>
      <c r="I2513" s="25"/>
    </row>
    <row r="2514" spans="7:9" x14ac:dyDescent="0.2">
      <c r="G2514" s="23"/>
      <c r="H2514" s="24"/>
      <c r="I2514" s="25"/>
    </row>
    <row r="2515" spans="7:9" x14ac:dyDescent="0.2">
      <c r="G2515" s="23"/>
      <c r="H2515" s="24"/>
      <c r="I2515" s="25"/>
    </row>
    <row r="2516" spans="7:9" x14ac:dyDescent="0.2">
      <c r="G2516" s="23"/>
      <c r="H2516" s="24"/>
      <c r="I2516" s="25"/>
    </row>
    <row r="2517" spans="7:9" x14ac:dyDescent="0.2">
      <c r="G2517" s="23"/>
      <c r="H2517" s="24"/>
      <c r="I2517" s="25"/>
    </row>
    <row r="2518" spans="7:9" x14ac:dyDescent="0.2">
      <c r="G2518" s="23"/>
      <c r="H2518" s="24"/>
      <c r="I2518" s="25"/>
    </row>
    <row r="2519" spans="7:9" x14ac:dyDescent="0.2">
      <c r="G2519" s="23"/>
      <c r="H2519" s="24"/>
      <c r="I2519" s="25"/>
    </row>
    <row r="2520" spans="7:9" x14ac:dyDescent="0.2">
      <c r="G2520" s="23"/>
      <c r="H2520" s="24"/>
      <c r="I2520" s="25"/>
    </row>
    <row r="2521" spans="7:9" x14ac:dyDescent="0.2">
      <c r="G2521" s="23"/>
      <c r="H2521" s="24"/>
      <c r="I2521" s="25"/>
    </row>
    <row r="2522" spans="7:9" x14ac:dyDescent="0.2">
      <c r="G2522" s="23"/>
      <c r="H2522" s="24"/>
      <c r="I2522" s="25"/>
    </row>
    <row r="2523" spans="7:9" x14ac:dyDescent="0.2">
      <c r="G2523" s="23"/>
      <c r="H2523" s="24"/>
      <c r="I2523" s="25"/>
    </row>
    <row r="2524" spans="7:9" x14ac:dyDescent="0.2">
      <c r="G2524" s="23"/>
      <c r="H2524" s="24"/>
      <c r="I2524" s="25"/>
    </row>
    <row r="2525" spans="7:9" x14ac:dyDescent="0.2">
      <c r="G2525" s="23"/>
      <c r="H2525" s="24"/>
      <c r="I2525" s="25"/>
    </row>
    <row r="2526" spans="7:9" x14ac:dyDescent="0.2">
      <c r="G2526" s="23"/>
      <c r="H2526" s="24"/>
      <c r="I2526" s="25"/>
    </row>
    <row r="2527" spans="7:9" x14ac:dyDescent="0.2">
      <c r="G2527" s="23"/>
      <c r="H2527" s="24"/>
      <c r="I2527" s="25"/>
    </row>
    <row r="2528" spans="7:9" x14ac:dyDescent="0.2">
      <c r="G2528" s="23"/>
      <c r="H2528" s="24"/>
      <c r="I2528" s="25"/>
    </row>
    <row r="2529" spans="7:9" x14ac:dyDescent="0.2">
      <c r="G2529" s="23"/>
      <c r="H2529" s="24"/>
      <c r="I2529" s="25"/>
    </row>
    <row r="2530" spans="7:9" x14ac:dyDescent="0.2">
      <c r="G2530" s="23"/>
      <c r="H2530" s="24"/>
      <c r="I2530" s="25"/>
    </row>
    <row r="2531" spans="7:9" x14ac:dyDescent="0.2">
      <c r="G2531" s="23"/>
      <c r="H2531" s="24"/>
      <c r="I2531" s="25"/>
    </row>
    <row r="2532" spans="7:9" x14ac:dyDescent="0.2">
      <c r="G2532" s="23"/>
      <c r="H2532" s="24"/>
      <c r="I2532" s="25"/>
    </row>
    <row r="2533" spans="7:9" x14ac:dyDescent="0.2">
      <c r="G2533" s="23"/>
      <c r="H2533" s="24"/>
      <c r="I2533" s="25"/>
    </row>
    <row r="2534" spans="7:9" x14ac:dyDescent="0.2">
      <c r="G2534" s="23"/>
      <c r="H2534" s="24"/>
      <c r="I2534" s="25"/>
    </row>
    <row r="2535" spans="7:9" x14ac:dyDescent="0.2">
      <c r="G2535" s="23"/>
      <c r="H2535" s="24"/>
      <c r="I2535" s="25"/>
    </row>
    <row r="2536" spans="7:9" x14ac:dyDescent="0.2">
      <c r="G2536" s="23"/>
      <c r="H2536" s="24"/>
      <c r="I2536" s="25"/>
    </row>
    <row r="2537" spans="7:9" x14ac:dyDescent="0.2">
      <c r="G2537" s="23"/>
      <c r="H2537" s="24"/>
      <c r="I2537" s="25"/>
    </row>
    <row r="2538" spans="7:9" x14ac:dyDescent="0.2">
      <c r="G2538" s="23"/>
      <c r="H2538" s="24"/>
      <c r="I2538" s="25"/>
    </row>
    <row r="2539" spans="7:9" x14ac:dyDescent="0.2">
      <c r="G2539" s="23"/>
      <c r="H2539" s="24"/>
      <c r="I2539" s="25"/>
    </row>
    <row r="2540" spans="7:9" x14ac:dyDescent="0.2">
      <c r="G2540" s="23"/>
      <c r="H2540" s="24"/>
      <c r="I2540" s="25"/>
    </row>
    <row r="2541" spans="7:9" x14ac:dyDescent="0.2">
      <c r="G2541" s="23"/>
      <c r="H2541" s="24"/>
      <c r="I2541" s="25"/>
    </row>
    <row r="2542" spans="7:9" x14ac:dyDescent="0.2">
      <c r="G2542" s="23"/>
      <c r="H2542" s="24"/>
      <c r="I2542" s="25"/>
    </row>
    <row r="2543" spans="7:9" x14ac:dyDescent="0.2">
      <c r="G2543" s="23"/>
      <c r="H2543" s="24"/>
      <c r="I2543" s="25"/>
    </row>
    <row r="2544" spans="7:9" x14ac:dyDescent="0.2">
      <c r="G2544" s="23"/>
      <c r="H2544" s="24"/>
      <c r="I2544" s="25"/>
    </row>
    <row r="2545" spans="7:9" x14ac:dyDescent="0.2">
      <c r="G2545" s="23"/>
      <c r="H2545" s="24"/>
      <c r="I2545" s="25"/>
    </row>
    <row r="2546" spans="7:9" x14ac:dyDescent="0.2">
      <c r="G2546" s="23"/>
      <c r="H2546" s="24"/>
      <c r="I2546" s="25"/>
    </row>
    <row r="2547" spans="7:9" x14ac:dyDescent="0.2">
      <c r="G2547" s="23"/>
      <c r="H2547" s="24"/>
      <c r="I2547" s="25"/>
    </row>
    <row r="2548" spans="7:9" x14ac:dyDescent="0.2">
      <c r="G2548" s="23"/>
      <c r="H2548" s="24"/>
      <c r="I2548" s="25"/>
    </row>
    <row r="2549" spans="7:9" x14ac:dyDescent="0.2">
      <c r="G2549" s="23"/>
      <c r="H2549" s="24"/>
      <c r="I2549" s="25"/>
    </row>
    <row r="2550" spans="7:9" x14ac:dyDescent="0.2">
      <c r="G2550" s="23"/>
      <c r="H2550" s="24"/>
      <c r="I2550" s="25"/>
    </row>
    <row r="2551" spans="7:9" x14ac:dyDescent="0.2">
      <c r="G2551" s="23"/>
      <c r="H2551" s="24"/>
      <c r="I2551" s="25"/>
    </row>
    <row r="2552" spans="7:9" x14ac:dyDescent="0.2">
      <c r="G2552" s="23"/>
      <c r="H2552" s="24"/>
      <c r="I2552" s="25"/>
    </row>
    <row r="2553" spans="7:9" x14ac:dyDescent="0.2">
      <c r="G2553" s="23"/>
      <c r="H2553" s="24"/>
      <c r="I2553" s="25"/>
    </row>
    <row r="2554" spans="7:9" x14ac:dyDescent="0.2">
      <c r="G2554" s="23"/>
      <c r="H2554" s="24"/>
      <c r="I2554" s="25"/>
    </row>
    <row r="2555" spans="7:9" x14ac:dyDescent="0.2">
      <c r="G2555" s="23"/>
      <c r="H2555" s="24"/>
      <c r="I2555" s="25"/>
    </row>
    <row r="2556" spans="7:9" x14ac:dyDescent="0.2">
      <c r="G2556" s="23"/>
      <c r="H2556" s="24"/>
      <c r="I2556" s="25"/>
    </row>
    <row r="2557" spans="7:9" x14ac:dyDescent="0.2">
      <c r="G2557" s="23"/>
      <c r="H2557" s="24"/>
      <c r="I2557" s="25"/>
    </row>
    <row r="2558" spans="7:9" x14ac:dyDescent="0.2">
      <c r="G2558" s="23"/>
      <c r="H2558" s="24"/>
      <c r="I2558" s="25"/>
    </row>
    <row r="2559" spans="7:9" x14ac:dyDescent="0.2">
      <c r="G2559" s="23"/>
      <c r="H2559" s="24"/>
      <c r="I2559" s="25"/>
    </row>
    <row r="2560" spans="7:9" x14ac:dyDescent="0.2">
      <c r="G2560" s="23"/>
      <c r="H2560" s="24"/>
      <c r="I2560" s="25"/>
    </row>
    <row r="2561" spans="7:9" x14ac:dyDescent="0.2">
      <c r="G2561" s="23"/>
      <c r="H2561" s="24"/>
      <c r="I2561" s="25"/>
    </row>
    <row r="2562" spans="7:9" x14ac:dyDescent="0.2">
      <c r="G2562" s="23"/>
      <c r="H2562" s="24"/>
      <c r="I2562" s="25"/>
    </row>
    <row r="2563" spans="7:9" x14ac:dyDescent="0.2">
      <c r="G2563" s="23"/>
      <c r="H2563" s="24"/>
      <c r="I2563" s="25"/>
    </row>
    <row r="2564" spans="7:9" x14ac:dyDescent="0.2">
      <c r="G2564" s="23"/>
      <c r="H2564" s="24"/>
      <c r="I2564" s="25"/>
    </row>
    <row r="2565" spans="7:9" x14ac:dyDescent="0.2">
      <c r="G2565" s="23"/>
      <c r="H2565" s="24"/>
      <c r="I2565" s="25"/>
    </row>
    <row r="2566" spans="7:9" x14ac:dyDescent="0.2">
      <c r="G2566" s="23"/>
      <c r="H2566" s="24"/>
      <c r="I2566" s="25"/>
    </row>
    <row r="2567" spans="7:9" x14ac:dyDescent="0.2">
      <c r="G2567" s="23"/>
      <c r="H2567" s="24"/>
      <c r="I2567" s="25"/>
    </row>
    <row r="2568" spans="7:9" x14ac:dyDescent="0.2">
      <c r="G2568" s="23"/>
      <c r="H2568" s="24"/>
      <c r="I2568" s="25"/>
    </row>
    <row r="2569" spans="7:9" x14ac:dyDescent="0.2">
      <c r="G2569" s="23"/>
      <c r="H2569" s="24"/>
      <c r="I2569" s="25"/>
    </row>
    <row r="2570" spans="7:9" x14ac:dyDescent="0.2">
      <c r="G2570" s="23"/>
      <c r="H2570" s="24"/>
      <c r="I2570" s="25"/>
    </row>
    <row r="2571" spans="7:9" x14ac:dyDescent="0.2">
      <c r="G2571" s="23"/>
      <c r="H2571" s="24"/>
      <c r="I2571" s="25"/>
    </row>
    <row r="2572" spans="7:9" x14ac:dyDescent="0.2">
      <c r="G2572" s="23"/>
      <c r="H2572" s="24"/>
      <c r="I2572" s="25"/>
    </row>
    <row r="2573" spans="7:9" x14ac:dyDescent="0.2">
      <c r="G2573" s="23"/>
      <c r="H2573" s="24"/>
      <c r="I2573" s="25"/>
    </row>
    <row r="2574" spans="7:9" x14ac:dyDescent="0.2">
      <c r="G2574" s="23"/>
      <c r="H2574" s="24"/>
      <c r="I2574" s="25"/>
    </row>
    <row r="2575" spans="7:9" x14ac:dyDescent="0.2">
      <c r="G2575" s="23"/>
      <c r="H2575" s="24"/>
      <c r="I2575" s="25"/>
    </row>
    <row r="2576" spans="7:9" x14ac:dyDescent="0.2">
      <c r="G2576" s="23"/>
      <c r="H2576" s="24"/>
      <c r="I2576" s="25"/>
    </row>
    <row r="2577" spans="7:9" x14ac:dyDescent="0.2">
      <c r="G2577" s="23"/>
      <c r="H2577" s="24"/>
      <c r="I2577" s="25"/>
    </row>
    <row r="2578" spans="7:9" x14ac:dyDescent="0.2">
      <c r="G2578" s="23"/>
      <c r="H2578" s="24"/>
      <c r="I2578" s="25"/>
    </row>
    <row r="2579" spans="7:9" x14ac:dyDescent="0.2">
      <c r="G2579" s="23"/>
      <c r="H2579" s="24"/>
      <c r="I2579" s="25"/>
    </row>
    <row r="2580" spans="7:9" x14ac:dyDescent="0.2">
      <c r="G2580" s="23"/>
      <c r="H2580" s="24"/>
      <c r="I2580" s="25"/>
    </row>
    <row r="2581" spans="7:9" x14ac:dyDescent="0.2">
      <c r="G2581" s="23"/>
      <c r="H2581" s="24"/>
      <c r="I2581" s="25"/>
    </row>
    <row r="2582" spans="7:9" x14ac:dyDescent="0.2">
      <c r="G2582" s="23"/>
      <c r="H2582" s="24"/>
      <c r="I2582" s="25"/>
    </row>
    <row r="2583" spans="7:9" x14ac:dyDescent="0.2">
      <c r="G2583" s="23"/>
      <c r="H2583" s="24"/>
      <c r="I2583" s="25"/>
    </row>
    <row r="2584" spans="7:9" x14ac:dyDescent="0.2">
      <c r="G2584" s="23"/>
      <c r="H2584" s="24"/>
      <c r="I2584" s="25"/>
    </row>
    <row r="2585" spans="7:9" x14ac:dyDescent="0.2">
      <c r="G2585" s="23"/>
      <c r="H2585" s="24"/>
      <c r="I2585" s="25"/>
    </row>
    <row r="2586" spans="7:9" x14ac:dyDescent="0.2">
      <c r="G2586" s="23"/>
      <c r="H2586" s="24"/>
      <c r="I2586" s="25"/>
    </row>
    <row r="2587" spans="7:9" x14ac:dyDescent="0.2">
      <c r="G2587" s="23"/>
      <c r="H2587" s="24"/>
      <c r="I2587" s="25"/>
    </row>
    <row r="2588" spans="7:9" x14ac:dyDescent="0.2">
      <c r="G2588" s="23"/>
      <c r="H2588" s="24"/>
      <c r="I2588" s="25"/>
    </row>
    <row r="2589" spans="7:9" x14ac:dyDescent="0.2">
      <c r="G2589" s="23"/>
      <c r="H2589" s="24"/>
      <c r="I2589" s="25"/>
    </row>
    <row r="2590" spans="7:9" x14ac:dyDescent="0.2">
      <c r="G2590" s="23"/>
      <c r="H2590" s="24"/>
      <c r="I2590" s="25"/>
    </row>
    <row r="2591" spans="7:9" x14ac:dyDescent="0.2">
      <c r="G2591" s="23"/>
      <c r="H2591" s="24"/>
      <c r="I2591" s="25"/>
    </row>
    <row r="2592" spans="7:9" x14ac:dyDescent="0.2">
      <c r="G2592" s="23"/>
      <c r="H2592" s="24"/>
      <c r="I2592" s="25"/>
    </row>
    <row r="2593" spans="7:9" x14ac:dyDescent="0.2">
      <c r="G2593" s="23"/>
      <c r="H2593" s="24"/>
      <c r="I2593" s="25"/>
    </row>
    <row r="2594" spans="7:9" x14ac:dyDescent="0.2">
      <c r="G2594" s="23"/>
      <c r="H2594" s="24"/>
      <c r="I2594" s="25"/>
    </row>
    <row r="2595" spans="7:9" x14ac:dyDescent="0.2">
      <c r="G2595" s="23"/>
      <c r="H2595" s="24"/>
      <c r="I2595" s="25"/>
    </row>
    <row r="2596" spans="7:9" x14ac:dyDescent="0.2">
      <c r="G2596" s="23"/>
      <c r="H2596" s="24"/>
      <c r="I2596" s="25"/>
    </row>
    <row r="2597" spans="7:9" x14ac:dyDescent="0.2">
      <c r="G2597" s="23"/>
      <c r="H2597" s="24"/>
      <c r="I2597" s="25"/>
    </row>
    <row r="2598" spans="7:9" x14ac:dyDescent="0.2">
      <c r="G2598" s="23"/>
      <c r="H2598" s="24"/>
      <c r="I2598" s="25"/>
    </row>
    <row r="2599" spans="7:9" x14ac:dyDescent="0.2">
      <c r="G2599" s="23"/>
      <c r="H2599" s="24"/>
      <c r="I2599" s="25"/>
    </row>
    <row r="2600" spans="7:9" x14ac:dyDescent="0.2">
      <c r="G2600" s="23"/>
      <c r="H2600" s="24"/>
      <c r="I2600" s="25"/>
    </row>
    <row r="2601" spans="7:9" x14ac:dyDescent="0.2">
      <c r="G2601" s="23"/>
      <c r="H2601" s="24"/>
      <c r="I2601" s="25"/>
    </row>
    <row r="2602" spans="7:9" x14ac:dyDescent="0.2">
      <c r="G2602" s="23"/>
      <c r="H2602" s="24"/>
      <c r="I2602" s="25"/>
    </row>
    <row r="2603" spans="7:9" x14ac:dyDescent="0.2">
      <c r="G2603" s="23"/>
      <c r="H2603" s="24"/>
      <c r="I2603" s="25"/>
    </row>
    <row r="2604" spans="7:9" x14ac:dyDescent="0.2">
      <c r="G2604" s="23"/>
      <c r="H2604" s="24"/>
      <c r="I2604" s="25"/>
    </row>
    <row r="2605" spans="7:9" x14ac:dyDescent="0.2">
      <c r="G2605" s="23"/>
      <c r="H2605" s="24"/>
      <c r="I2605" s="25"/>
    </row>
    <row r="2606" spans="7:9" x14ac:dyDescent="0.2">
      <c r="G2606" s="23"/>
      <c r="H2606" s="24"/>
      <c r="I2606" s="25"/>
    </row>
    <row r="2607" spans="7:9" x14ac:dyDescent="0.2">
      <c r="G2607" s="23"/>
      <c r="H2607" s="24"/>
      <c r="I2607" s="25"/>
    </row>
    <row r="2608" spans="7:9" x14ac:dyDescent="0.2">
      <c r="G2608" s="23"/>
      <c r="H2608" s="24"/>
      <c r="I2608" s="25"/>
    </row>
    <row r="2609" spans="7:9" x14ac:dyDescent="0.2">
      <c r="G2609" s="23"/>
      <c r="H2609" s="24"/>
      <c r="I2609" s="25"/>
    </row>
    <row r="2610" spans="7:9" x14ac:dyDescent="0.2">
      <c r="G2610" s="23"/>
      <c r="H2610" s="24"/>
      <c r="I2610" s="25"/>
    </row>
    <row r="2611" spans="7:9" x14ac:dyDescent="0.2">
      <c r="G2611" s="23"/>
      <c r="H2611" s="24"/>
      <c r="I2611" s="25"/>
    </row>
    <row r="2612" spans="7:9" x14ac:dyDescent="0.2">
      <c r="G2612" s="23"/>
      <c r="H2612" s="24"/>
      <c r="I2612" s="25"/>
    </row>
    <row r="2613" spans="7:9" x14ac:dyDescent="0.2">
      <c r="G2613" s="23"/>
      <c r="H2613" s="24"/>
      <c r="I2613" s="25"/>
    </row>
    <row r="2614" spans="7:9" x14ac:dyDescent="0.2">
      <c r="G2614" s="23"/>
      <c r="H2614" s="24"/>
      <c r="I2614" s="25"/>
    </row>
    <row r="2615" spans="7:9" x14ac:dyDescent="0.2">
      <c r="G2615" s="23"/>
      <c r="H2615" s="24"/>
      <c r="I2615" s="25"/>
    </row>
    <row r="2616" spans="7:9" x14ac:dyDescent="0.2">
      <c r="G2616" s="23"/>
      <c r="H2616" s="24"/>
      <c r="I2616" s="25"/>
    </row>
    <row r="2617" spans="7:9" x14ac:dyDescent="0.2">
      <c r="G2617" s="23"/>
      <c r="H2617" s="24"/>
      <c r="I2617" s="25"/>
    </row>
    <row r="2618" spans="7:9" x14ac:dyDescent="0.2">
      <c r="G2618" s="23"/>
      <c r="H2618" s="24"/>
      <c r="I2618" s="25"/>
    </row>
    <row r="2619" spans="7:9" x14ac:dyDescent="0.2">
      <c r="G2619" s="23"/>
      <c r="H2619" s="24"/>
      <c r="I2619" s="25"/>
    </row>
    <row r="2620" spans="7:9" x14ac:dyDescent="0.2">
      <c r="G2620" s="23"/>
      <c r="H2620" s="24"/>
      <c r="I2620" s="25"/>
    </row>
    <row r="2621" spans="7:9" x14ac:dyDescent="0.2">
      <c r="G2621" s="23"/>
      <c r="H2621" s="24"/>
      <c r="I2621" s="25"/>
    </row>
    <row r="2622" spans="7:9" x14ac:dyDescent="0.2">
      <c r="G2622" s="23"/>
      <c r="H2622" s="24"/>
      <c r="I2622" s="25"/>
    </row>
    <row r="2623" spans="7:9" x14ac:dyDescent="0.2">
      <c r="G2623" s="23"/>
      <c r="H2623" s="24"/>
      <c r="I2623" s="25"/>
    </row>
    <row r="2624" spans="7:9" x14ac:dyDescent="0.2">
      <c r="G2624" s="23"/>
      <c r="H2624" s="24"/>
      <c r="I2624" s="25"/>
    </row>
    <row r="2625" spans="7:9" x14ac:dyDescent="0.2">
      <c r="G2625" s="23"/>
      <c r="H2625" s="24"/>
      <c r="I2625" s="25"/>
    </row>
    <row r="2626" spans="7:9" x14ac:dyDescent="0.2">
      <c r="G2626" s="23"/>
      <c r="H2626" s="24"/>
      <c r="I2626" s="25"/>
    </row>
    <row r="2627" spans="7:9" x14ac:dyDescent="0.2">
      <c r="G2627" s="23"/>
      <c r="H2627" s="24"/>
      <c r="I2627" s="25"/>
    </row>
    <row r="2628" spans="7:9" x14ac:dyDescent="0.2">
      <c r="G2628" s="23"/>
      <c r="H2628" s="24"/>
      <c r="I2628" s="25"/>
    </row>
    <row r="2629" spans="7:9" x14ac:dyDescent="0.2">
      <c r="G2629" s="23"/>
      <c r="H2629" s="24"/>
      <c r="I2629" s="25"/>
    </row>
    <row r="2630" spans="7:9" x14ac:dyDescent="0.2">
      <c r="G2630" s="23"/>
      <c r="H2630" s="24"/>
      <c r="I2630" s="25"/>
    </row>
    <row r="2631" spans="7:9" x14ac:dyDescent="0.2">
      <c r="G2631" s="23"/>
      <c r="H2631" s="24"/>
      <c r="I2631" s="25"/>
    </row>
    <row r="2632" spans="7:9" x14ac:dyDescent="0.2">
      <c r="G2632" s="23"/>
      <c r="H2632" s="24"/>
      <c r="I2632" s="25"/>
    </row>
    <row r="2633" spans="7:9" x14ac:dyDescent="0.2">
      <c r="G2633" s="23"/>
      <c r="H2633" s="24"/>
      <c r="I2633" s="25"/>
    </row>
    <row r="2634" spans="7:9" x14ac:dyDescent="0.2">
      <c r="G2634" s="23"/>
      <c r="H2634" s="24"/>
      <c r="I2634" s="25"/>
    </row>
    <row r="2635" spans="7:9" x14ac:dyDescent="0.2">
      <c r="G2635" s="23"/>
      <c r="H2635" s="24"/>
      <c r="I2635" s="25"/>
    </row>
    <row r="2636" spans="7:9" x14ac:dyDescent="0.2">
      <c r="G2636" s="23"/>
      <c r="H2636" s="24"/>
      <c r="I2636" s="25"/>
    </row>
    <row r="2637" spans="7:9" x14ac:dyDescent="0.2">
      <c r="G2637" s="23"/>
      <c r="H2637" s="24"/>
      <c r="I2637" s="25"/>
    </row>
    <row r="2638" spans="7:9" x14ac:dyDescent="0.2">
      <c r="G2638" s="23"/>
      <c r="H2638" s="24"/>
      <c r="I2638" s="25"/>
    </row>
    <row r="2639" spans="7:9" x14ac:dyDescent="0.2">
      <c r="G2639" s="23"/>
      <c r="H2639" s="24"/>
      <c r="I2639" s="25"/>
    </row>
    <row r="2640" spans="7:9" x14ac:dyDescent="0.2">
      <c r="G2640" s="23"/>
      <c r="H2640" s="24"/>
      <c r="I2640" s="25"/>
    </row>
    <row r="2641" spans="7:9" x14ac:dyDescent="0.2">
      <c r="G2641" s="23"/>
      <c r="H2641" s="24"/>
      <c r="I2641" s="25"/>
    </row>
    <row r="2642" spans="7:9" x14ac:dyDescent="0.2">
      <c r="G2642" s="23"/>
      <c r="H2642" s="24"/>
      <c r="I2642" s="25"/>
    </row>
    <row r="2643" spans="7:9" x14ac:dyDescent="0.2">
      <c r="G2643" s="23"/>
      <c r="H2643" s="24"/>
      <c r="I2643" s="25"/>
    </row>
    <row r="2644" spans="7:9" x14ac:dyDescent="0.2">
      <c r="G2644" s="23"/>
      <c r="H2644" s="24"/>
      <c r="I2644" s="25"/>
    </row>
    <row r="2645" spans="7:9" x14ac:dyDescent="0.2">
      <c r="G2645" s="23"/>
      <c r="H2645" s="24"/>
      <c r="I2645" s="25"/>
    </row>
    <row r="2646" spans="7:9" x14ac:dyDescent="0.2">
      <c r="G2646" s="23"/>
      <c r="H2646" s="24"/>
      <c r="I2646" s="25"/>
    </row>
    <row r="2647" spans="7:9" x14ac:dyDescent="0.2">
      <c r="G2647" s="23"/>
      <c r="H2647" s="24"/>
      <c r="I2647" s="25"/>
    </row>
    <row r="2648" spans="7:9" x14ac:dyDescent="0.2">
      <c r="G2648" s="23"/>
      <c r="H2648" s="24"/>
      <c r="I2648" s="25"/>
    </row>
    <row r="2649" spans="7:9" x14ac:dyDescent="0.2">
      <c r="G2649" s="23"/>
      <c r="H2649" s="24"/>
      <c r="I2649" s="25"/>
    </row>
    <row r="2650" spans="7:9" x14ac:dyDescent="0.2">
      <c r="G2650" s="23"/>
      <c r="H2650" s="24"/>
      <c r="I2650" s="25"/>
    </row>
    <row r="2651" spans="7:9" x14ac:dyDescent="0.2">
      <c r="G2651" s="23"/>
      <c r="H2651" s="24"/>
      <c r="I2651" s="25"/>
    </row>
    <row r="2652" spans="7:9" x14ac:dyDescent="0.2">
      <c r="G2652" s="23"/>
      <c r="H2652" s="24"/>
      <c r="I2652" s="25"/>
    </row>
    <row r="2653" spans="7:9" x14ac:dyDescent="0.2">
      <c r="G2653" s="23"/>
      <c r="H2653" s="24"/>
      <c r="I2653" s="25"/>
    </row>
    <row r="2654" spans="7:9" x14ac:dyDescent="0.2">
      <c r="G2654" s="23"/>
      <c r="H2654" s="24"/>
      <c r="I2654" s="25"/>
    </row>
    <row r="2655" spans="7:9" x14ac:dyDescent="0.2">
      <c r="G2655" s="23"/>
      <c r="H2655" s="24"/>
      <c r="I2655" s="25"/>
    </row>
    <row r="2656" spans="7:9" x14ac:dyDescent="0.2">
      <c r="G2656" s="23"/>
      <c r="H2656" s="24"/>
      <c r="I2656" s="25"/>
    </row>
    <row r="2657" spans="7:9" x14ac:dyDescent="0.2">
      <c r="G2657" s="23"/>
      <c r="H2657" s="24"/>
      <c r="I2657" s="25"/>
    </row>
    <row r="2658" spans="7:9" x14ac:dyDescent="0.2">
      <c r="G2658" s="23"/>
      <c r="H2658" s="24"/>
      <c r="I2658" s="25"/>
    </row>
    <row r="2659" spans="7:9" x14ac:dyDescent="0.2">
      <c r="G2659" s="23"/>
      <c r="H2659" s="24"/>
      <c r="I2659" s="25"/>
    </row>
    <row r="2660" spans="7:9" x14ac:dyDescent="0.2">
      <c r="G2660" s="23"/>
      <c r="H2660" s="24"/>
      <c r="I2660" s="25"/>
    </row>
    <row r="2661" spans="7:9" x14ac:dyDescent="0.2">
      <c r="G2661" s="23"/>
      <c r="H2661" s="24"/>
      <c r="I2661" s="25"/>
    </row>
    <row r="2662" spans="7:9" x14ac:dyDescent="0.2">
      <c r="G2662" s="23"/>
      <c r="H2662" s="24"/>
      <c r="I2662" s="25"/>
    </row>
    <row r="2663" spans="7:9" x14ac:dyDescent="0.2">
      <c r="G2663" s="23"/>
      <c r="H2663" s="24"/>
      <c r="I2663" s="25"/>
    </row>
    <row r="2664" spans="7:9" x14ac:dyDescent="0.2">
      <c r="G2664" s="23"/>
      <c r="H2664" s="24"/>
      <c r="I2664" s="25"/>
    </row>
    <row r="2665" spans="7:9" x14ac:dyDescent="0.2">
      <c r="G2665" s="23"/>
      <c r="H2665" s="24"/>
      <c r="I2665" s="25"/>
    </row>
    <row r="2666" spans="7:9" x14ac:dyDescent="0.2">
      <c r="G2666" s="23"/>
      <c r="H2666" s="24"/>
      <c r="I2666" s="25"/>
    </row>
    <row r="2667" spans="7:9" x14ac:dyDescent="0.2">
      <c r="G2667" s="23"/>
      <c r="H2667" s="24"/>
      <c r="I2667" s="25"/>
    </row>
    <row r="2668" spans="7:9" x14ac:dyDescent="0.2">
      <c r="G2668" s="23"/>
      <c r="H2668" s="24"/>
      <c r="I2668" s="25"/>
    </row>
    <row r="2669" spans="7:9" x14ac:dyDescent="0.2">
      <c r="G2669" s="23"/>
      <c r="H2669" s="24"/>
      <c r="I2669" s="25"/>
    </row>
    <row r="2670" spans="7:9" x14ac:dyDescent="0.2">
      <c r="G2670" s="23"/>
      <c r="H2670" s="24"/>
      <c r="I2670" s="25"/>
    </row>
    <row r="2671" spans="7:9" x14ac:dyDescent="0.2">
      <c r="G2671" s="23"/>
      <c r="H2671" s="24"/>
      <c r="I2671" s="25"/>
    </row>
    <row r="2672" spans="7:9" x14ac:dyDescent="0.2">
      <c r="G2672" s="23"/>
      <c r="H2672" s="24"/>
      <c r="I2672" s="25"/>
    </row>
    <row r="2673" spans="7:9" x14ac:dyDescent="0.2">
      <c r="G2673" s="23"/>
      <c r="H2673" s="24"/>
      <c r="I2673" s="25"/>
    </row>
    <row r="2674" spans="7:9" x14ac:dyDescent="0.2">
      <c r="G2674" s="23"/>
      <c r="H2674" s="24"/>
      <c r="I2674" s="25"/>
    </row>
    <row r="2675" spans="7:9" x14ac:dyDescent="0.2">
      <c r="G2675" s="23"/>
      <c r="H2675" s="24"/>
      <c r="I2675" s="25"/>
    </row>
    <row r="2676" spans="7:9" x14ac:dyDescent="0.2">
      <c r="G2676" s="23"/>
      <c r="H2676" s="24"/>
      <c r="I2676" s="25"/>
    </row>
    <row r="2677" spans="7:9" x14ac:dyDescent="0.2">
      <c r="G2677" s="23"/>
      <c r="H2677" s="24"/>
      <c r="I2677" s="25"/>
    </row>
    <row r="2678" spans="7:9" x14ac:dyDescent="0.2">
      <c r="G2678" s="23"/>
      <c r="H2678" s="24"/>
      <c r="I2678" s="25"/>
    </row>
    <row r="2679" spans="7:9" x14ac:dyDescent="0.2">
      <c r="G2679" s="23"/>
      <c r="H2679" s="24"/>
      <c r="I2679" s="25"/>
    </row>
    <row r="2680" spans="7:9" x14ac:dyDescent="0.2">
      <c r="G2680" s="23"/>
      <c r="H2680" s="24"/>
      <c r="I2680" s="25"/>
    </row>
    <row r="2681" spans="7:9" x14ac:dyDescent="0.2">
      <c r="G2681" s="23"/>
      <c r="H2681" s="24"/>
      <c r="I2681" s="25"/>
    </row>
    <row r="2682" spans="7:9" x14ac:dyDescent="0.2">
      <c r="G2682" s="23"/>
      <c r="H2682" s="24"/>
      <c r="I2682" s="25"/>
    </row>
    <row r="2683" spans="7:9" x14ac:dyDescent="0.2">
      <c r="G2683" s="23"/>
      <c r="H2683" s="24"/>
      <c r="I2683" s="25"/>
    </row>
    <row r="2684" spans="7:9" x14ac:dyDescent="0.2">
      <c r="G2684" s="23"/>
      <c r="H2684" s="24"/>
      <c r="I2684" s="25"/>
    </row>
    <row r="2685" spans="7:9" x14ac:dyDescent="0.2">
      <c r="G2685" s="23"/>
      <c r="H2685" s="24"/>
      <c r="I2685" s="25"/>
    </row>
    <row r="2686" spans="7:9" x14ac:dyDescent="0.2">
      <c r="G2686" s="23"/>
      <c r="H2686" s="24"/>
      <c r="I2686" s="25"/>
    </row>
    <row r="2687" spans="7:9" x14ac:dyDescent="0.2">
      <c r="G2687" s="23"/>
      <c r="H2687" s="24"/>
      <c r="I2687" s="25"/>
    </row>
    <row r="2688" spans="7:9" x14ac:dyDescent="0.2">
      <c r="G2688" s="23"/>
      <c r="H2688" s="24"/>
      <c r="I2688" s="25"/>
    </row>
    <row r="2689" spans="7:9" x14ac:dyDescent="0.2">
      <c r="G2689" s="23"/>
      <c r="H2689" s="24"/>
      <c r="I2689" s="25"/>
    </row>
    <row r="2690" spans="7:9" x14ac:dyDescent="0.2">
      <c r="G2690" s="23"/>
      <c r="H2690" s="24"/>
      <c r="I2690" s="25"/>
    </row>
    <row r="2691" spans="7:9" x14ac:dyDescent="0.2">
      <c r="G2691" s="23"/>
      <c r="H2691" s="24"/>
      <c r="I2691" s="25"/>
    </row>
    <row r="2692" spans="7:9" x14ac:dyDescent="0.2">
      <c r="G2692" s="23"/>
      <c r="H2692" s="24"/>
      <c r="I2692" s="25"/>
    </row>
    <row r="2693" spans="7:9" x14ac:dyDescent="0.2">
      <c r="G2693" s="23"/>
      <c r="H2693" s="24"/>
      <c r="I2693" s="25"/>
    </row>
    <row r="2694" spans="7:9" x14ac:dyDescent="0.2">
      <c r="G2694" s="23"/>
      <c r="H2694" s="24"/>
      <c r="I2694" s="25"/>
    </row>
    <row r="2695" spans="7:9" x14ac:dyDescent="0.2">
      <c r="G2695" s="23"/>
      <c r="H2695" s="24"/>
      <c r="I2695" s="25"/>
    </row>
    <row r="2696" spans="7:9" x14ac:dyDescent="0.2">
      <c r="G2696" s="23"/>
      <c r="H2696" s="24"/>
      <c r="I2696" s="25"/>
    </row>
    <row r="2697" spans="7:9" x14ac:dyDescent="0.2">
      <c r="G2697" s="23"/>
      <c r="H2697" s="24"/>
      <c r="I2697" s="25"/>
    </row>
    <row r="2698" spans="7:9" x14ac:dyDescent="0.2">
      <c r="G2698" s="23"/>
      <c r="H2698" s="24"/>
      <c r="I2698" s="25"/>
    </row>
    <row r="2699" spans="7:9" x14ac:dyDescent="0.2">
      <c r="G2699" s="23"/>
      <c r="H2699" s="24"/>
      <c r="I2699" s="25"/>
    </row>
    <row r="2700" spans="7:9" x14ac:dyDescent="0.2">
      <c r="G2700" s="23"/>
      <c r="H2700" s="24"/>
      <c r="I2700" s="25"/>
    </row>
    <row r="2701" spans="7:9" x14ac:dyDescent="0.2">
      <c r="G2701" s="23"/>
      <c r="H2701" s="24"/>
      <c r="I2701" s="25"/>
    </row>
    <row r="2702" spans="7:9" x14ac:dyDescent="0.2">
      <c r="G2702" s="23"/>
      <c r="H2702" s="24"/>
      <c r="I2702" s="25"/>
    </row>
    <row r="2703" spans="7:9" x14ac:dyDescent="0.2">
      <c r="G2703" s="23"/>
      <c r="H2703" s="24"/>
      <c r="I2703" s="25"/>
    </row>
    <row r="2704" spans="7:9" x14ac:dyDescent="0.2">
      <c r="G2704" s="23"/>
      <c r="H2704" s="24"/>
      <c r="I2704" s="25"/>
    </row>
    <row r="2705" spans="7:9" x14ac:dyDescent="0.2">
      <c r="G2705" s="23"/>
      <c r="H2705" s="24"/>
      <c r="I2705" s="25"/>
    </row>
    <row r="2706" spans="7:9" x14ac:dyDescent="0.2">
      <c r="G2706" s="23"/>
      <c r="H2706" s="24"/>
      <c r="I2706" s="25"/>
    </row>
    <row r="2707" spans="7:9" x14ac:dyDescent="0.2">
      <c r="G2707" s="23"/>
      <c r="H2707" s="24"/>
      <c r="I2707" s="25"/>
    </row>
    <row r="2708" spans="7:9" x14ac:dyDescent="0.2">
      <c r="G2708" s="23"/>
      <c r="H2708" s="24"/>
      <c r="I2708" s="25"/>
    </row>
    <row r="2709" spans="7:9" x14ac:dyDescent="0.2">
      <c r="G2709" s="23"/>
      <c r="H2709" s="24"/>
      <c r="I2709" s="25"/>
    </row>
    <row r="2710" spans="7:9" x14ac:dyDescent="0.2">
      <c r="G2710" s="23"/>
      <c r="H2710" s="24"/>
      <c r="I2710" s="25"/>
    </row>
    <row r="2711" spans="7:9" x14ac:dyDescent="0.2">
      <c r="G2711" s="23"/>
      <c r="H2711" s="24"/>
      <c r="I2711" s="25"/>
    </row>
    <row r="2712" spans="7:9" x14ac:dyDescent="0.2">
      <c r="G2712" s="23"/>
      <c r="H2712" s="24"/>
      <c r="I2712" s="25"/>
    </row>
    <row r="2713" spans="7:9" x14ac:dyDescent="0.2">
      <c r="G2713" s="23"/>
      <c r="H2713" s="24"/>
      <c r="I2713" s="25"/>
    </row>
    <row r="2714" spans="7:9" x14ac:dyDescent="0.2">
      <c r="G2714" s="23"/>
      <c r="H2714" s="24"/>
      <c r="I2714" s="25"/>
    </row>
    <row r="2715" spans="7:9" x14ac:dyDescent="0.2">
      <c r="G2715" s="23"/>
      <c r="H2715" s="24"/>
      <c r="I2715" s="25"/>
    </row>
    <row r="2716" spans="7:9" x14ac:dyDescent="0.2">
      <c r="G2716" s="23"/>
      <c r="H2716" s="24"/>
      <c r="I2716" s="25"/>
    </row>
    <row r="2717" spans="7:9" x14ac:dyDescent="0.2">
      <c r="G2717" s="23"/>
      <c r="H2717" s="24"/>
      <c r="I2717" s="25"/>
    </row>
    <row r="2718" spans="7:9" x14ac:dyDescent="0.2">
      <c r="G2718" s="23"/>
      <c r="H2718" s="24"/>
      <c r="I2718" s="25"/>
    </row>
    <row r="2719" spans="7:9" x14ac:dyDescent="0.2">
      <c r="G2719" s="23"/>
      <c r="H2719" s="24"/>
      <c r="I2719" s="25"/>
    </row>
    <row r="2720" spans="7:9" x14ac:dyDescent="0.2">
      <c r="G2720" s="23"/>
      <c r="H2720" s="24"/>
      <c r="I2720" s="25"/>
    </row>
    <row r="2721" spans="7:9" x14ac:dyDescent="0.2">
      <c r="G2721" s="23"/>
      <c r="H2721" s="24"/>
      <c r="I2721" s="25"/>
    </row>
    <row r="2722" spans="7:9" x14ac:dyDescent="0.2">
      <c r="G2722" s="23"/>
      <c r="H2722" s="24"/>
      <c r="I2722" s="25"/>
    </row>
    <row r="2723" spans="7:9" x14ac:dyDescent="0.2">
      <c r="G2723" s="23"/>
      <c r="H2723" s="24"/>
      <c r="I2723" s="25"/>
    </row>
    <row r="2724" spans="7:9" x14ac:dyDescent="0.2">
      <c r="G2724" s="23"/>
      <c r="H2724" s="24"/>
      <c r="I2724" s="25"/>
    </row>
    <row r="2725" spans="7:9" x14ac:dyDescent="0.2">
      <c r="G2725" s="23"/>
      <c r="H2725" s="24"/>
      <c r="I2725" s="25"/>
    </row>
    <row r="2726" spans="7:9" x14ac:dyDescent="0.2">
      <c r="G2726" s="23"/>
      <c r="H2726" s="24"/>
      <c r="I2726" s="25"/>
    </row>
    <row r="2727" spans="7:9" x14ac:dyDescent="0.2">
      <c r="G2727" s="23"/>
      <c r="H2727" s="24"/>
      <c r="I2727" s="25"/>
    </row>
    <row r="2728" spans="7:9" x14ac:dyDescent="0.2">
      <c r="G2728" s="23"/>
      <c r="H2728" s="24"/>
      <c r="I2728" s="25"/>
    </row>
    <row r="2729" spans="7:9" x14ac:dyDescent="0.2">
      <c r="G2729" s="23"/>
      <c r="H2729" s="24"/>
      <c r="I2729" s="25"/>
    </row>
    <row r="2730" spans="7:9" x14ac:dyDescent="0.2">
      <c r="G2730" s="23"/>
      <c r="H2730" s="24"/>
      <c r="I2730" s="25"/>
    </row>
    <row r="2731" spans="7:9" x14ac:dyDescent="0.2">
      <c r="G2731" s="23"/>
      <c r="H2731" s="24"/>
      <c r="I2731" s="25"/>
    </row>
    <row r="2732" spans="7:9" x14ac:dyDescent="0.2">
      <c r="G2732" s="23"/>
      <c r="H2732" s="24"/>
      <c r="I2732" s="25"/>
    </row>
    <row r="2733" spans="7:9" x14ac:dyDescent="0.2">
      <c r="G2733" s="23"/>
      <c r="H2733" s="24"/>
      <c r="I2733" s="25"/>
    </row>
    <row r="2734" spans="7:9" x14ac:dyDescent="0.2">
      <c r="G2734" s="23"/>
      <c r="H2734" s="24"/>
      <c r="I2734" s="25"/>
    </row>
    <row r="2735" spans="7:9" x14ac:dyDescent="0.2">
      <c r="G2735" s="23"/>
      <c r="H2735" s="24"/>
      <c r="I2735" s="25"/>
    </row>
    <row r="2736" spans="7:9" x14ac:dyDescent="0.2">
      <c r="G2736" s="23"/>
      <c r="H2736" s="24"/>
      <c r="I2736" s="25"/>
    </row>
    <row r="2737" spans="7:9" x14ac:dyDescent="0.2">
      <c r="G2737" s="23"/>
      <c r="H2737" s="24"/>
      <c r="I2737" s="25"/>
    </row>
    <row r="2738" spans="7:9" x14ac:dyDescent="0.2">
      <c r="G2738" s="23"/>
      <c r="H2738" s="24"/>
      <c r="I2738" s="25"/>
    </row>
    <row r="2739" spans="7:9" x14ac:dyDescent="0.2">
      <c r="G2739" s="23"/>
      <c r="H2739" s="24"/>
      <c r="I2739" s="25"/>
    </row>
    <row r="2740" spans="7:9" x14ac:dyDescent="0.2">
      <c r="G2740" s="23"/>
      <c r="H2740" s="24"/>
      <c r="I2740" s="25"/>
    </row>
    <row r="2741" spans="7:9" x14ac:dyDescent="0.2">
      <c r="G2741" s="23"/>
      <c r="H2741" s="24"/>
      <c r="I2741" s="25"/>
    </row>
    <row r="2742" spans="7:9" x14ac:dyDescent="0.2">
      <c r="G2742" s="23"/>
      <c r="H2742" s="24"/>
      <c r="I2742" s="25"/>
    </row>
    <row r="2743" spans="7:9" x14ac:dyDescent="0.2">
      <c r="G2743" s="23"/>
      <c r="H2743" s="24"/>
      <c r="I2743" s="25"/>
    </row>
    <row r="2744" spans="7:9" x14ac:dyDescent="0.2">
      <c r="G2744" s="23"/>
      <c r="H2744" s="24"/>
      <c r="I2744" s="25"/>
    </row>
    <row r="2745" spans="7:9" x14ac:dyDescent="0.2">
      <c r="G2745" s="23"/>
      <c r="H2745" s="24"/>
      <c r="I2745" s="25"/>
    </row>
    <row r="2746" spans="7:9" x14ac:dyDescent="0.2">
      <c r="G2746" s="23"/>
      <c r="H2746" s="24"/>
      <c r="I2746" s="25"/>
    </row>
    <row r="2747" spans="7:9" x14ac:dyDescent="0.2">
      <c r="G2747" s="23"/>
      <c r="H2747" s="24"/>
      <c r="I2747" s="25"/>
    </row>
    <row r="2748" spans="7:9" x14ac:dyDescent="0.2">
      <c r="G2748" s="23"/>
      <c r="H2748" s="24"/>
      <c r="I2748" s="25"/>
    </row>
    <row r="2749" spans="7:9" x14ac:dyDescent="0.2">
      <c r="G2749" s="23"/>
      <c r="H2749" s="24"/>
      <c r="I2749" s="25"/>
    </row>
    <row r="2750" spans="7:9" x14ac:dyDescent="0.2">
      <c r="G2750" s="23"/>
      <c r="H2750" s="24"/>
      <c r="I2750" s="25"/>
    </row>
    <row r="2751" spans="7:9" x14ac:dyDescent="0.2">
      <c r="G2751" s="23"/>
      <c r="H2751" s="24"/>
      <c r="I2751" s="25"/>
    </row>
    <row r="2752" spans="7:9" x14ac:dyDescent="0.2">
      <c r="G2752" s="23"/>
      <c r="H2752" s="24"/>
      <c r="I2752" s="25"/>
    </row>
    <row r="2753" spans="7:9" x14ac:dyDescent="0.2">
      <c r="G2753" s="23"/>
      <c r="H2753" s="24"/>
      <c r="I2753" s="25"/>
    </row>
    <row r="2754" spans="7:9" x14ac:dyDescent="0.2">
      <c r="G2754" s="23"/>
      <c r="H2754" s="24"/>
      <c r="I2754" s="25"/>
    </row>
    <row r="2755" spans="7:9" x14ac:dyDescent="0.2">
      <c r="G2755" s="23"/>
      <c r="H2755" s="24"/>
      <c r="I2755" s="25"/>
    </row>
    <row r="2756" spans="7:9" x14ac:dyDescent="0.2">
      <c r="G2756" s="23"/>
      <c r="H2756" s="24"/>
      <c r="I2756" s="25"/>
    </row>
    <row r="2757" spans="7:9" x14ac:dyDescent="0.2">
      <c r="G2757" s="23"/>
      <c r="H2757" s="24"/>
      <c r="I2757" s="25"/>
    </row>
    <row r="2758" spans="7:9" x14ac:dyDescent="0.2">
      <c r="G2758" s="23"/>
      <c r="H2758" s="24"/>
      <c r="I2758" s="25"/>
    </row>
    <row r="2759" spans="7:9" x14ac:dyDescent="0.2">
      <c r="G2759" s="23"/>
      <c r="H2759" s="24"/>
      <c r="I2759" s="25"/>
    </row>
    <row r="2760" spans="7:9" x14ac:dyDescent="0.2">
      <c r="G2760" s="23"/>
      <c r="H2760" s="24"/>
      <c r="I2760" s="25"/>
    </row>
    <row r="2761" spans="7:9" x14ac:dyDescent="0.2">
      <c r="G2761" s="23"/>
      <c r="H2761" s="24"/>
      <c r="I2761" s="25"/>
    </row>
    <row r="2762" spans="7:9" x14ac:dyDescent="0.2">
      <c r="G2762" s="23"/>
      <c r="H2762" s="24"/>
      <c r="I2762" s="25"/>
    </row>
    <row r="2763" spans="7:9" x14ac:dyDescent="0.2">
      <c r="G2763" s="23"/>
      <c r="H2763" s="24"/>
      <c r="I2763" s="25"/>
    </row>
    <row r="2764" spans="7:9" x14ac:dyDescent="0.2">
      <c r="G2764" s="23"/>
      <c r="H2764" s="24"/>
      <c r="I2764" s="25"/>
    </row>
    <row r="2765" spans="7:9" x14ac:dyDescent="0.2">
      <c r="G2765" s="23"/>
      <c r="H2765" s="24"/>
      <c r="I2765" s="25"/>
    </row>
    <row r="2766" spans="7:9" x14ac:dyDescent="0.2">
      <c r="G2766" s="23"/>
      <c r="H2766" s="24"/>
      <c r="I2766" s="25"/>
    </row>
    <row r="2767" spans="7:9" x14ac:dyDescent="0.2">
      <c r="G2767" s="23"/>
      <c r="H2767" s="24"/>
      <c r="I2767" s="25"/>
    </row>
    <row r="2768" spans="7:9" x14ac:dyDescent="0.2">
      <c r="G2768" s="23"/>
      <c r="H2768" s="24"/>
      <c r="I2768" s="25"/>
    </row>
    <row r="2769" spans="7:9" x14ac:dyDescent="0.2">
      <c r="G2769" s="23"/>
      <c r="H2769" s="24"/>
      <c r="I2769" s="25"/>
    </row>
    <row r="2770" spans="7:9" x14ac:dyDescent="0.2">
      <c r="G2770" s="23"/>
      <c r="H2770" s="24"/>
      <c r="I2770" s="25"/>
    </row>
    <row r="2771" spans="7:9" x14ac:dyDescent="0.2">
      <c r="G2771" s="23"/>
      <c r="H2771" s="24"/>
      <c r="I2771" s="25"/>
    </row>
    <row r="2772" spans="7:9" x14ac:dyDescent="0.2">
      <c r="G2772" s="23"/>
      <c r="H2772" s="24"/>
      <c r="I2772" s="25"/>
    </row>
    <row r="2773" spans="7:9" x14ac:dyDescent="0.2">
      <c r="G2773" s="23"/>
      <c r="H2773" s="24"/>
      <c r="I2773" s="25"/>
    </row>
    <row r="2774" spans="7:9" x14ac:dyDescent="0.2">
      <c r="G2774" s="23"/>
      <c r="H2774" s="24"/>
      <c r="I2774" s="25"/>
    </row>
    <row r="2775" spans="7:9" x14ac:dyDescent="0.2">
      <c r="G2775" s="23"/>
      <c r="H2775" s="24"/>
      <c r="I2775" s="25"/>
    </row>
    <row r="2776" spans="7:9" x14ac:dyDescent="0.2">
      <c r="G2776" s="23"/>
      <c r="H2776" s="24"/>
      <c r="I2776" s="25"/>
    </row>
    <row r="2777" spans="7:9" x14ac:dyDescent="0.2">
      <c r="G2777" s="23"/>
      <c r="H2777" s="24"/>
      <c r="I2777" s="25"/>
    </row>
    <row r="2778" spans="7:9" x14ac:dyDescent="0.2">
      <c r="G2778" s="23"/>
      <c r="H2778" s="24"/>
      <c r="I2778" s="25"/>
    </row>
    <row r="2779" spans="7:9" x14ac:dyDescent="0.2">
      <c r="G2779" s="23"/>
      <c r="H2779" s="24"/>
      <c r="I2779" s="25"/>
    </row>
    <row r="2780" spans="7:9" x14ac:dyDescent="0.2">
      <c r="G2780" s="23"/>
      <c r="H2780" s="24"/>
      <c r="I2780" s="25"/>
    </row>
    <row r="2781" spans="7:9" x14ac:dyDescent="0.2">
      <c r="G2781" s="23"/>
      <c r="H2781" s="24"/>
      <c r="I2781" s="25"/>
    </row>
    <row r="2782" spans="7:9" x14ac:dyDescent="0.2">
      <c r="G2782" s="23"/>
      <c r="H2782" s="24"/>
      <c r="I2782" s="25"/>
    </row>
    <row r="2783" spans="7:9" x14ac:dyDescent="0.2">
      <c r="G2783" s="23"/>
      <c r="H2783" s="24"/>
      <c r="I2783" s="25"/>
    </row>
    <row r="2784" spans="7:9" x14ac:dyDescent="0.2">
      <c r="G2784" s="23"/>
      <c r="H2784" s="24"/>
      <c r="I2784" s="25"/>
    </row>
    <row r="2785" spans="7:9" x14ac:dyDescent="0.2">
      <c r="G2785" s="23"/>
      <c r="H2785" s="24"/>
      <c r="I2785" s="25"/>
    </row>
    <row r="2786" spans="7:9" x14ac:dyDescent="0.2">
      <c r="G2786" s="23"/>
      <c r="H2786" s="24"/>
      <c r="I2786" s="25"/>
    </row>
    <row r="2787" spans="7:9" x14ac:dyDescent="0.2">
      <c r="G2787" s="23"/>
      <c r="H2787" s="24"/>
      <c r="I2787" s="25"/>
    </row>
    <row r="2788" spans="7:9" x14ac:dyDescent="0.2">
      <c r="G2788" s="23"/>
      <c r="H2788" s="24"/>
      <c r="I2788" s="25"/>
    </row>
    <row r="2789" spans="7:9" x14ac:dyDescent="0.2">
      <c r="G2789" s="23"/>
      <c r="H2789" s="24"/>
      <c r="I2789" s="25"/>
    </row>
    <row r="2790" spans="7:9" x14ac:dyDescent="0.2">
      <c r="G2790" s="23"/>
      <c r="H2790" s="24"/>
      <c r="I2790" s="25"/>
    </row>
    <row r="2791" spans="7:9" x14ac:dyDescent="0.2">
      <c r="G2791" s="23"/>
      <c r="H2791" s="24"/>
      <c r="I2791" s="25"/>
    </row>
    <row r="2792" spans="7:9" x14ac:dyDescent="0.2">
      <c r="G2792" s="23"/>
      <c r="H2792" s="24"/>
      <c r="I2792" s="25"/>
    </row>
    <row r="2793" spans="7:9" x14ac:dyDescent="0.2">
      <c r="G2793" s="23"/>
      <c r="H2793" s="24"/>
      <c r="I2793" s="25"/>
    </row>
    <row r="2794" spans="7:9" x14ac:dyDescent="0.2">
      <c r="G2794" s="23"/>
      <c r="H2794" s="24"/>
      <c r="I2794" s="25"/>
    </row>
    <row r="2795" spans="7:9" x14ac:dyDescent="0.2">
      <c r="G2795" s="23"/>
      <c r="H2795" s="24"/>
      <c r="I2795" s="25"/>
    </row>
    <row r="2796" spans="7:9" x14ac:dyDescent="0.2">
      <c r="G2796" s="23"/>
      <c r="H2796" s="24"/>
      <c r="I2796" s="25"/>
    </row>
    <row r="2797" spans="7:9" x14ac:dyDescent="0.2">
      <c r="G2797" s="23"/>
      <c r="H2797" s="24"/>
      <c r="I2797" s="25"/>
    </row>
    <row r="2798" spans="7:9" x14ac:dyDescent="0.2">
      <c r="G2798" s="23"/>
      <c r="H2798" s="24"/>
      <c r="I2798" s="25"/>
    </row>
    <row r="2799" spans="7:9" x14ac:dyDescent="0.2">
      <c r="G2799" s="23"/>
      <c r="H2799" s="24"/>
      <c r="I2799" s="25"/>
    </row>
    <row r="2800" spans="7:9" x14ac:dyDescent="0.2">
      <c r="G2800" s="23"/>
      <c r="H2800" s="24"/>
      <c r="I2800" s="25"/>
    </row>
    <row r="2801" spans="7:9" x14ac:dyDescent="0.2">
      <c r="G2801" s="23"/>
      <c r="H2801" s="24"/>
      <c r="I2801" s="25"/>
    </row>
    <row r="2802" spans="7:9" x14ac:dyDescent="0.2">
      <c r="G2802" s="23"/>
      <c r="H2802" s="24"/>
      <c r="I2802" s="25"/>
    </row>
    <row r="2803" spans="7:9" x14ac:dyDescent="0.2">
      <c r="G2803" s="23"/>
      <c r="H2803" s="24"/>
      <c r="I2803" s="25"/>
    </row>
    <row r="2804" spans="7:9" x14ac:dyDescent="0.2">
      <c r="G2804" s="23"/>
      <c r="H2804" s="24"/>
      <c r="I2804" s="25"/>
    </row>
    <row r="2805" spans="7:9" x14ac:dyDescent="0.2">
      <c r="G2805" s="23"/>
      <c r="H2805" s="24"/>
      <c r="I2805" s="25"/>
    </row>
    <row r="2806" spans="7:9" x14ac:dyDescent="0.2">
      <c r="G2806" s="23"/>
      <c r="H2806" s="24"/>
      <c r="I2806" s="25"/>
    </row>
    <row r="2807" spans="7:9" x14ac:dyDescent="0.2">
      <c r="G2807" s="23"/>
      <c r="H2807" s="24"/>
      <c r="I2807" s="25"/>
    </row>
    <row r="2808" spans="7:9" x14ac:dyDescent="0.2">
      <c r="G2808" s="23"/>
      <c r="H2808" s="24"/>
      <c r="I2808" s="25"/>
    </row>
    <row r="2809" spans="7:9" x14ac:dyDescent="0.2">
      <c r="G2809" s="23"/>
      <c r="H2809" s="24"/>
      <c r="I2809" s="25"/>
    </row>
    <row r="2810" spans="7:9" x14ac:dyDescent="0.2">
      <c r="G2810" s="23"/>
      <c r="H2810" s="24"/>
      <c r="I2810" s="25"/>
    </row>
    <row r="2811" spans="7:9" x14ac:dyDescent="0.2">
      <c r="G2811" s="23"/>
      <c r="H2811" s="24"/>
      <c r="I2811" s="25"/>
    </row>
    <row r="2812" spans="7:9" x14ac:dyDescent="0.2">
      <c r="G2812" s="23"/>
      <c r="H2812" s="24"/>
      <c r="I2812" s="25"/>
    </row>
    <row r="2813" spans="7:9" x14ac:dyDescent="0.2">
      <c r="G2813" s="23"/>
      <c r="H2813" s="24"/>
      <c r="I2813" s="25"/>
    </row>
    <row r="2814" spans="7:9" x14ac:dyDescent="0.2">
      <c r="G2814" s="23"/>
      <c r="H2814" s="24"/>
      <c r="I2814" s="25"/>
    </row>
    <row r="2815" spans="7:9" x14ac:dyDescent="0.2">
      <c r="G2815" s="23"/>
      <c r="H2815" s="24"/>
      <c r="I2815" s="25"/>
    </row>
    <row r="2816" spans="7:9" x14ac:dyDescent="0.2">
      <c r="G2816" s="23"/>
      <c r="H2816" s="24"/>
      <c r="I2816" s="25"/>
    </row>
    <row r="2817" spans="7:9" x14ac:dyDescent="0.2">
      <c r="G2817" s="23"/>
      <c r="H2817" s="24"/>
      <c r="I2817" s="25"/>
    </row>
    <row r="2818" spans="7:9" x14ac:dyDescent="0.2">
      <c r="G2818" s="23"/>
      <c r="H2818" s="24"/>
      <c r="I2818" s="25"/>
    </row>
    <row r="2819" spans="7:9" x14ac:dyDescent="0.2">
      <c r="G2819" s="23"/>
      <c r="H2819" s="24"/>
      <c r="I2819" s="25"/>
    </row>
    <row r="2820" spans="7:9" x14ac:dyDescent="0.2">
      <c r="G2820" s="23"/>
      <c r="H2820" s="24"/>
      <c r="I2820" s="25"/>
    </row>
    <row r="2821" spans="7:9" x14ac:dyDescent="0.2">
      <c r="G2821" s="23"/>
      <c r="H2821" s="24"/>
      <c r="I2821" s="25"/>
    </row>
    <row r="2822" spans="7:9" x14ac:dyDescent="0.2">
      <c r="G2822" s="23"/>
      <c r="H2822" s="24"/>
      <c r="I2822" s="25"/>
    </row>
    <row r="2823" spans="7:9" x14ac:dyDescent="0.2">
      <c r="G2823" s="23"/>
      <c r="H2823" s="24"/>
      <c r="I2823" s="25"/>
    </row>
    <row r="2824" spans="7:9" x14ac:dyDescent="0.2">
      <c r="G2824" s="23"/>
      <c r="H2824" s="24"/>
      <c r="I2824" s="25"/>
    </row>
    <row r="2825" spans="7:9" x14ac:dyDescent="0.2">
      <c r="G2825" s="23"/>
      <c r="H2825" s="24"/>
      <c r="I2825" s="25"/>
    </row>
    <row r="2826" spans="7:9" x14ac:dyDescent="0.2">
      <c r="G2826" s="23"/>
      <c r="H2826" s="24"/>
      <c r="I2826" s="25"/>
    </row>
    <row r="2827" spans="7:9" x14ac:dyDescent="0.2">
      <c r="G2827" s="23"/>
      <c r="H2827" s="24"/>
      <c r="I2827" s="25"/>
    </row>
    <row r="2828" spans="7:9" x14ac:dyDescent="0.2">
      <c r="G2828" s="23"/>
      <c r="H2828" s="24"/>
      <c r="I2828" s="25"/>
    </row>
    <row r="2829" spans="7:9" x14ac:dyDescent="0.2">
      <c r="G2829" s="23"/>
      <c r="H2829" s="24"/>
      <c r="I2829" s="25"/>
    </row>
    <row r="2830" spans="7:9" x14ac:dyDescent="0.2">
      <c r="G2830" s="23"/>
      <c r="H2830" s="24"/>
      <c r="I2830" s="25"/>
    </row>
    <row r="2831" spans="7:9" x14ac:dyDescent="0.2">
      <c r="G2831" s="23"/>
      <c r="H2831" s="24"/>
      <c r="I2831" s="25"/>
    </row>
    <row r="2832" spans="7:9" x14ac:dyDescent="0.2">
      <c r="G2832" s="23"/>
      <c r="H2832" s="24"/>
      <c r="I2832" s="25"/>
    </row>
    <row r="2833" spans="7:9" x14ac:dyDescent="0.2">
      <c r="G2833" s="23"/>
      <c r="H2833" s="24"/>
      <c r="I2833" s="25"/>
    </row>
    <row r="2834" spans="7:9" x14ac:dyDescent="0.2">
      <c r="G2834" s="23"/>
      <c r="H2834" s="24"/>
      <c r="I2834" s="25"/>
    </row>
    <row r="2835" spans="7:9" x14ac:dyDescent="0.2">
      <c r="G2835" s="23"/>
      <c r="H2835" s="24"/>
      <c r="I2835" s="25"/>
    </row>
    <row r="2836" spans="7:9" x14ac:dyDescent="0.2">
      <c r="G2836" s="23"/>
      <c r="H2836" s="24"/>
      <c r="I2836" s="25"/>
    </row>
    <row r="2837" spans="7:9" x14ac:dyDescent="0.2">
      <c r="G2837" s="23"/>
      <c r="H2837" s="24"/>
      <c r="I2837" s="25"/>
    </row>
    <row r="2838" spans="7:9" x14ac:dyDescent="0.2">
      <c r="G2838" s="23"/>
      <c r="H2838" s="24"/>
      <c r="I2838" s="25"/>
    </row>
    <row r="2839" spans="7:9" x14ac:dyDescent="0.2">
      <c r="G2839" s="23"/>
      <c r="H2839" s="24"/>
      <c r="I2839" s="25"/>
    </row>
    <row r="2840" spans="7:9" x14ac:dyDescent="0.2">
      <c r="G2840" s="23"/>
      <c r="H2840" s="24"/>
      <c r="I2840" s="25"/>
    </row>
    <row r="2841" spans="7:9" x14ac:dyDescent="0.2">
      <c r="G2841" s="23"/>
      <c r="H2841" s="24"/>
      <c r="I2841" s="25"/>
    </row>
    <row r="2842" spans="7:9" x14ac:dyDescent="0.2">
      <c r="G2842" s="23"/>
      <c r="H2842" s="24"/>
      <c r="I2842" s="25"/>
    </row>
    <row r="2843" spans="7:9" x14ac:dyDescent="0.2">
      <c r="G2843" s="23"/>
      <c r="H2843" s="24"/>
      <c r="I2843" s="25"/>
    </row>
    <row r="2844" spans="7:9" x14ac:dyDescent="0.2">
      <c r="G2844" s="23"/>
      <c r="H2844" s="24"/>
      <c r="I2844" s="25"/>
    </row>
    <row r="2845" spans="7:9" x14ac:dyDescent="0.2">
      <c r="G2845" s="23"/>
      <c r="H2845" s="24"/>
      <c r="I2845" s="25"/>
    </row>
    <row r="2846" spans="7:9" x14ac:dyDescent="0.2">
      <c r="G2846" s="23"/>
      <c r="H2846" s="24"/>
      <c r="I2846" s="25"/>
    </row>
    <row r="2847" spans="7:9" x14ac:dyDescent="0.2">
      <c r="G2847" s="23"/>
      <c r="H2847" s="24"/>
      <c r="I2847" s="25"/>
    </row>
    <row r="2848" spans="7:9" x14ac:dyDescent="0.2">
      <c r="G2848" s="23"/>
      <c r="H2848" s="24"/>
      <c r="I2848" s="25"/>
    </row>
    <row r="2849" spans="7:9" x14ac:dyDescent="0.2">
      <c r="G2849" s="23"/>
      <c r="H2849" s="24"/>
      <c r="I2849" s="25"/>
    </row>
    <row r="2850" spans="7:9" x14ac:dyDescent="0.2">
      <c r="G2850" s="23"/>
      <c r="H2850" s="24"/>
      <c r="I2850" s="25"/>
    </row>
    <row r="2851" spans="7:9" x14ac:dyDescent="0.2">
      <c r="G2851" s="23"/>
      <c r="H2851" s="24"/>
      <c r="I2851" s="25"/>
    </row>
    <row r="2852" spans="7:9" x14ac:dyDescent="0.2">
      <c r="G2852" s="23"/>
      <c r="H2852" s="24"/>
      <c r="I2852" s="25"/>
    </row>
    <row r="2853" spans="7:9" x14ac:dyDescent="0.2">
      <c r="G2853" s="23"/>
      <c r="H2853" s="24"/>
      <c r="I2853" s="25"/>
    </row>
    <row r="2854" spans="7:9" x14ac:dyDescent="0.2">
      <c r="G2854" s="23"/>
      <c r="H2854" s="24"/>
      <c r="I2854" s="25"/>
    </row>
    <row r="2855" spans="7:9" x14ac:dyDescent="0.2">
      <c r="G2855" s="23"/>
      <c r="H2855" s="24"/>
      <c r="I2855" s="25"/>
    </row>
    <row r="2856" spans="7:9" x14ac:dyDescent="0.2">
      <c r="G2856" s="23"/>
      <c r="H2856" s="24"/>
      <c r="I2856" s="25"/>
    </row>
    <row r="2857" spans="7:9" x14ac:dyDescent="0.2">
      <c r="G2857" s="23"/>
      <c r="H2857" s="24"/>
      <c r="I2857" s="25"/>
    </row>
    <row r="2858" spans="7:9" x14ac:dyDescent="0.2">
      <c r="G2858" s="23"/>
      <c r="H2858" s="24"/>
      <c r="I2858" s="25"/>
    </row>
    <row r="2859" spans="7:9" x14ac:dyDescent="0.2">
      <c r="G2859" s="23"/>
      <c r="H2859" s="24"/>
      <c r="I2859" s="25"/>
    </row>
    <row r="2860" spans="7:9" x14ac:dyDescent="0.2">
      <c r="G2860" s="23"/>
      <c r="H2860" s="24"/>
      <c r="I2860" s="25"/>
    </row>
    <row r="2861" spans="7:9" x14ac:dyDescent="0.2">
      <c r="G2861" s="23"/>
      <c r="H2861" s="24"/>
      <c r="I2861" s="25"/>
    </row>
    <row r="2862" spans="7:9" x14ac:dyDescent="0.2">
      <c r="G2862" s="23"/>
      <c r="H2862" s="24"/>
      <c r="I2862" s="25"/>
    </row>
    <row r="2863" spans="7:9" x14ac:dyDescent="0.2">
      <c r="G2863" s="23"/>
      <c r="H2863" s="24"/>
      <c r="I2863" s="25"/>
    </row>
    <row r="2864" spans="7:9" x14ac:dyDescent="0.2">
      <c r="G2864" s="23"/>
      <c r="H2864" s="24"/>
      <c r="I2864" s="25"/>
    </row>
    <row r="2865" spans="7:9" x14ac:dyDescent="0.2">
      <c r="G2865" s="23"/>
      <c r="H2865" s="24"/>
      <c r="I2865" s="25"/>
    </row>
    <row r="2866" spans="7:9" x14ac:dyDescent="0.2">
      <c r="G2866" s="23"/>
      <c r="H2866" s="24"/>
      <c r="I2866" s="25"/>
    </row>
    <row r="2867" spans="7:9" x14ac:dyDescent="0.2">
      <c r="G2867" s="23"/>
      <c r="H2867" s="24"/>
      <c r="I2867" s="25"/>
    </row>
    <row r="2868" spans="7:9" x14ac:dyDescent="0.2">
      <c r="G2868" s="23"/>
      <c r="H2868" s="24"/>
      <c r="I2868" s="25"/>
    </row>
    <row r="2869" spans="7:9" x14ac:dyDescent="0.2">
      <c r="G2869" s="23"/>
      <c r="H2869" s="24"/>
      <c r="I2869" s="25"/>
    </row>
    <row r="2870" spans="7:9" x14ac:dyDescent="0.2">
      <c r="G2870" s="23"/>
      <c r="H2870" s="24"/>
      <c r="I2870" s="25"/>
    </row>
    <row r="2871" spans="7:9" x14ac:dyDescent="0.2">
      <c r="G2871" s="23"/>
      <c r="H2871" s="24"/>
      <c r="I2871" s="25"/>
    </row>
    <row r="2872" spans="7:9" x14ac:dyDescent="0.2">
      <c r="G2872" s="23"/>
      <c r="H2872" s="24"/>
      <c r="I2872" s="25"/>
    </row>
    <row r="2873" spans="7:9" x14ac:dyDescent="0.2">
      <c r="G2873" s="23"/>
      <c r="H2873" s="24"/>
      <c r="I2873" s="25"/>
    </row>
    <row r="2874" spans="7:9" x14ac:dyDescent="0.2">
      <c r="G2874" s="23"/>
      <c r="H2874" s="24"/>
      <c r="I2874" s="25"/>
    </row>
    <row r="2875" spans="7:9" x14ac:dyDescent="0.2">
      <c r="G2875" s="23"/>
      <c r="H2875" s="24"/>
      <c r="I2875" s="25"/>
    </row>
    <row r="2876" spans="7:9" x14ac:dyDescent="0.2">
      <c r="G2876" s="23"/>
      <c r="H2876" s="24"/>
      <c r="I2876" s="25"/>
    </row>
    <row r="2877" spans="7:9" x14ac:dyDescent="0.2">
      <c r="G2877" s="23"/>
      <c r="H2877" s="24"/>
      <c r="I2877" s="25"/>
    </row>
    <row r="2878" spans="7:9" x14ac:dyDescent="0.2">
      <c r="G2878" s="23"/>
      <c r="H2878" s="24"/>
      <c r="I2878" s="25"/>
    </row>
    <row r="2879" spans="7:9" x14ac:dyDescent="0.2">
      <c r="G2879" s="23"/>
      <c r="H2879" s="24"/>
      <c r="I2879" s="25"/>
    </row>
    <row r="2880" spans="7:9" x14ac:dyDescent="0.2">
      <c r="G2880" s="23"/>
      <c r="H2880" s="24"/>
      <c r="I2880" s="25"/>
    </row>
    <row r="2881" spans="7:9" x14ac:dyDescent="0.2">
      <c r="G2881" s="23"/>
      <c r="H2881" s="24"/>
      <c r="I2881" s="25"/>
    </row>
    <row r="2882" spans="7:9" x14ac:dyDescent="0.2">
      <c r="G2882" s="23"/>
      <c r="H2882" s="24"/>
      <c r="I2882" s="25"/>
    </row>
    <row r="2883" spans="7:9" x14ac:dyDescent="0.2">
      <c r="G2883" s="23"/>
      <c r="H2883" s="24"/>
      <c r="I2883" s="25"/>
    </row>
    <row r="2884" spans="7:9" x14ac:dyDescent="0.2">
      <c r="G2884" s="23"/>
      <c r="H2884" s="24"/>
      <c r="I2884" s="25"/>
    </row>
    <row r="2885" spans="7:9" x14ac:dyDescent="0.2">
      <c r="G2885" s="23"/>
      <c r="H2885" s="24"/>
      <c r="I2885" s="25"/>
    </row>
    <row r="2886" spans="7:9" x14ac:dyDescent="0.2">
      <c r="G2886" s="23"/>
      <c r="H2886" s="24"/>
      <c r="I2886" s="25"/>
    </row>
    <row r="2887" spans="7:9" x14ac:dyDescent="0.2">
      <c r="G2887" s="23"/>
      <c r="H2887" s="24"/>
      <c r="I2887" s="25"/>
    </row>
    <row r="2888" spans="7:9" x14ac:dyDescent="0.2">
      <c r="G2888" s="23"/>
      <c r="H2888" s="24"/>
      <c r="I2888" s="25"/>
    </row>
    <row r="2889" spans="7:9" x14ac:dyDescent="0.2">
      <c r="G2889" s="23"/>
      <c r="H2889" s="24"/>
      <c r="I2889" s="25"/>
    </row>
    <row r="2890" spans="7:9" x14ac:dyDescent="0.2">
      <c r="G2890" s="23"/>
      <c r="H2890" s="24"/>
      <c r="I2890" s="25"/>
    </row>
    <row r="2891" spans="7:9" x14ac:dyDescent="0.2">
      <c r="G2891" s="23"/>
      <c r="H2891" s="24"/>
      <c r="I2891" s="25"/>
    </row>
    <row r="2892" spans="7:9" x14ac:dyDescent="0.2">
      <c r="G2892" s="23"/>
      <c r="H2892" s="24"/>
      <c r="I2892" s="25"/>
    </row>
    <row r="2893" spans="7:9" x14ac:dyDescent="0.2">
      <c r="G2893" s="23"/>
      <c r="H2893" s="24"/>
      <c r="I2893" s="25"/>
    </row>
    <row r="2894" spans="7:9" x14ac:dyDescent="0.2">
      <c r="G2894" s="23"/>
      <c r="H2894" s="24"/>
      <c r="I2894" s="25"/>
    </row>
    <row r="2895" spans="7:9" x14ac:dyDescent="0.2">
      <c r="G2895" s="23"/>
      <c r="H2895" s="24"/>
      <c r="I2895" s="25"/>
    </row>
    <row r="2896" spans="7:9" x14ac:dyDescent="0.2">
      <c r="G2896" s="23"/>
      <c r="H2896" s="24"/>
      <c r="I2896" s="25"/>
    </row>
    <row r="2897" spans="7:9" x14ac:dyDescent="0.2">
      <c r="G2897" s="23"/>
      <c r="H2897" s="24"/>
      <c r="I2897" s="25"/>
    </row>
    <row r="2898" spans="7:9" x14ac:dyDescent="0.2">
      <c r="G2898" s="23"/>
      <c r="H2898" s="24"/>
      <c r="I2898" s="25"/>
    </row>
    <row r="2899" spans="7:9" x14ac:dyDescent="0.2">
      <c r="G2899" s="23"/>
      <c r="H2899" s="24"/>
      <c r="I2899" s="25"/>
    </row>
    <row r="2900" spans="7:9" x14ac:dyDescent="0.2">
      <c r="G2900" s="23"/>
      <c r="H2900" s="24"/>
      <c r="I2900" s="25"/>
    </row>
    <row r="2901" spans="7:9" x14ac:dyDescent="0.2">
      <c r="G2901" s="23"/>
      <c r="H2901" s="24"/>
      <c r="I2901" s="25"/>
    </row>
    <row r="2902" spans="7:9" x14ac:dyDescent="0.2">
      <c r="G2902" s="23"/>
      <c r="H2902" s="24"/>
      <c r="I2902" s="25"/>
    </row>
    <row r="2903" spans="7:9" x14ac:dyDescent="0.2">
      <c r="G2903" s="23"/>
      <c r="H2903" s="24"/>
      <c r="I2903" s="25"/>
    </row>
    <row r="2904" spans="7:9" x14ac:dyDescent="0.2">
      <c r="G2904" s="23"/>
      <c r="H2904" s="24"/>
      <c r="I2904" s="25"/>
    </row>
    <row r="2905" spans="7:9" x14ac:dyDescent="0.2">
      <c r="G2905" s="23"/>
      <c r="H2905" s="24"/>
      <c r="I2905" s="25"/>
    </row>
    <row r="2906" spans="7:9" x14ac:dyDescent="0.2">
      <c r="G2906" s="23"/>
      <c r="H2906" s="24"/>
      <c r="I2906" s="25"/>
    </row>
    <row r="2907" spans="7:9" x14ac:dyDescent="0.2">
      <c r="G2907" s="23"/>
      <c r="H2907" s="24"/>
      <c r="I2907" s="25"/>
    </row>
    <row r="2908" spans="7:9" x14ac:dyDescent="0.2">
      <c r="G2908" s="23"/>
      <c r="H2908" s="24"/>
      <c r="I2908" s="25"/>
    </row>
    <row r="2909" spans="7:9" x14ac:dyDescent="0.2">
      <c r="G2909" s="23"/>
      <c r="H2909" s="24"/>
      <c r="I2909" s="25"/>
    </row>
    <row r="2910" spans="7:9" x14ac:dyDescent="0.2">
      <c r="G2910" s="23"/>
      <c r="H2910" s="24"/>
      <c r="I2910" s="25"/>
    </row>
    <row r="2911" spans="7:9" x14ac:dyDescent="0.2">
      <c r="G2911" s="23"/>
      <c r="H2911" s="24"/>
      <c r="I2911" s="25"/>
    </row>
    <row r="2912" spans="7:9" x14ac:dyDescent="0.2">
      <c r="G2912" s="23"/>
      <c r="H2912" s="24"/>
      <c r="I2912" s="25"/>
    </row>
    <row r="2913" spans="7:9" x14ac:dyDescent="0.2">
      <c r="G2913" s="23"/>
      <c r="H2913" s="24"/>
      <c r="I2913" s="25"/>
    </row>
    <row r="2914" spans="7:9" x14ac:dyDescent="0.2">
      <c r="G2914" s="23"/>
      <c r="H2914" s="24"/>
      <c r="I2914" s="25"/>
    </row>
    <row r="2915" spans="7:9" x14ac:dyDescent="0.2">
      <c r="G2915" s="23"/>
      <c r="H2915" s="24"/>
      <c r="I2915" s="25"/>
    </row>
    <row r="2916" spans="7:9" x14ac:dyDescent="0.2">
      <c r="G2916" s="23"/>
      <c r="H2916" s="24"/>
      <c r="I2916" s="25"/>
    </row>
    <row r="2917" spans="7:9" x14ac:dyDescent="0.2">
      <c r="G2917" s="23"/>
      <c r="H2917" s="24"/>
      <c r="I2917" s="25"/>
    </row>
    <row r="2918" spans="7:9" x14ac:dyDescent="0.2">
      <c r="G2918" s="23"/>
      <c r="H2918" s="24"/>
      <c r="I2918" s="25"/>
    </row>
    <row r="2919" spans="7:9" x14ac:dyDescent="0.2">
      <c r="G2919" s="23"/>
      <c r="H2919" s="24"/>
      <c r="I2919" s="25"/>
    </row>
    <row r="2920" spans="7:9" x14ac:dyDescent="0.2">
      <c r="G2920" s="23"/>
      <c r="H2920" s="24"/>
      <c r="I2920" s="25"/>
    </row>
    <row r="2921" spans="7:9" x14ac:dyDescent="0.2">
      <c r="G2921" s="23"/>
      <c r="H2921" s="24"/>
      <c r="I2921" s="25"/>
    </row>
    <row r="2922" spans="7:9" x14ac:dyDescent="0.2">
      <c r="G2922" s="23"/>
      <c r="H2922" s="24"/>
      <c r="I2922" s="25"/>
    </row>
    <row r="2923" spans="7:9" x14ac:dyDescent="0.2">
      <c r="G2923" s="23"/>
      <c r="H2923" s="24"/>
      <c r="I2923" s="25"/>
    </row>
    <row r="2924" spans="7:9" x14ac:dyDescent="0.2">
      <c r="G2924" s="23"/>
      <c r="H2924" s="24"/>
      <c r="I2924" s="25"/>
    </row>
    <row r="2925" spans="7:9" x14ac:dyDescent="0.2">
      <c r="G2925" s="23"/>
      <c r="H2925" s="24"/>
      <c r="I2925" s="25"/>
    </row>
    <row r="2926" spans="7:9" x14ac:dyDescent="0.2">
      <c r="G2926" s="23"/>
      <c r="H2926" s="24"/>
      <c r="I2926" s="25"/>
    </row>
    <row r="2927" spans="7:9" x14ac:dyDescent="0.2">
      <c r="G2927" s="23"/>
      <c r="H2927" s="24"/>
      <c r="I2927" s="25"/>
    </row>
    <row r="2928" spans="7:9" x14ac:dyDescent="0.2">
      <c r="G2928" s="23"/>
      <c r="H2928" s="24"/>
      <c r="I2928" s="25"/>
    </row>
    <row r="2929" spans="7:9" x14ac:dyDescent="0.2">
      <c r="G2929" s="23"/>
      <c r="H2929" s="24"/>
      <c r="I2929" s="25"/>
    </row>
    <row r="2930" spans="7:9" x14ac:dyDescent="0.2">
      <c r="G2930" s="23"/>
      <c r="H2930" s="24"/>
      <c r="I2930" s="25"/>
    </row>
    <row r="2931" spans="7:9" x14ac:dyDescent="0.2">
      <c r="G2931" s="23"/>
      <c r="H2931" s="24"/>
      <c r="I2931" s="25"/>
    </row>
    <row r="2932" spans="7:9" x14ac:dyDescent="0.2">
      <c r="G2932" s="23"/>
      <c r="H2932" s="24"/>
      <c r="I2932" s="25"/>
    </row>
    <row r="2933" spans="7:9" x14ac:dyDescent="0.2">
      <c r="G2933" s="23"/>
      <c r="H2933" s="24"/>
      <c r="I2933" s="25"/>
    </row>
    <row r="2934" spans="7:9" x14ac:dyDescent="0.2">
      <c r="G2934" s="23"/>
      <c r="H2934" s="24"/>
      <c r="I2934" s="25"/>
    </row>
    <row r="2935" spans="7:9" x14ac:dyDescent="0.2">
      <c r="G2935" s="23"/>
      <c r="H2935" s="24"/>
      <c r="I2935" s="25"/>
    </row>
    <row r="2936" spans="7:9" x14ac:dyDescent="0.2">
      <c r="G2936" s="23"/>
      <c r="H2936" s="24"/>
      <c r="I2936" s="25"/>
    </row>
    <row r="2937" spans="7:9" x14ac:dyDescent="0.2">
      <c r="G2937" s="23"/>
      <c r="H2937" s="24"/>
      <c r="I2937" s="25"/>
    </row>
    <row r="2938" spans="7:9" x14ac:dyDescent="0.2">
      <c r="G2938" s="23"/>
      <c r="H2938" s="24"/>
      <c r="I2938" s="25"/>
    </row>
    <row r="2939" spans="7:9" x14ac:dyDescent="0.2">
      <c r="G2939" s="23"/>
      <c r="H2939" s="24"/>
      <c r="I2939" s="25"/>
    </row>
    <row r="2940" spans="7:9" x14ac:dyDescent="0.2">
      <c r="G2940" s="23"/>
      <c r="H2940" s="24"/>
      <c r="I2940" s="25"/>
    </row>
    <row r="2941" spans="7:9" x14ac:dyDescent="0.2">
      <c r="G2941" s="23"/>
      <c r="H2941" s="24"/>
      <c r="I2941" s="25"/>
    </row>
    <row r="2942" spans="7:9" x14ac:dyDescent="0.2">
      <c r="G2942" s="23"/>
      <c r="H2942" s="24"/>
      <c r="I2942" s="25"/>
    </row>
    <row r="2943" spans="7:9" x14ac:dyDescent="0.2">
      <c r="G2943" s="23"/>
      <c r="H2943" s="24"/>
      <c r="I2943" s="25"/>
    </row>
    <row r="2944" spans="7:9" x14ac:dyDescent="0.2">
      <c r="G2944" s="23"/>
      <c r="H2944" s="24"/>
      <c r="I2944" s="25"/>
    </row>
    <row r="2945" spans="7:9" x14ac:dyDescent="0.2">
      <c r="G2945" s="23"/>
      <c r="H2945" s="24"/>
      <c r="I2945" s="25"/>
    </row>
    <row r="2946" spans="7:9" x14ac:dyDescent="0.2">
      <c r="G2946" s="23"/>
      <c r="H2946" s="24"/>
      <c r="I2946" s="25"/>
    </row>
    <row r="2947" spans="7:9" x14ac:dyDescent="0.2">
      <c r="G2947" s="23"/>
      <c r="H2947" s="24"/>
      <c r="I2947" s="25"/>
    </row>
    <row r="2948" spans="7:9" x14ac:dyDescent="0.2">
      <c r="G2948" s="23"/>
      <c r="H2948" s="24"/>
      <c r="I2948" s="25"/>
    </row>
    <row r="2949" spans="7:9" x14ac:dyDescent="0.2">
      <c r="G2949" s="23"/>
      <c r="H2949" s="24"/>
      <c r="I2949" s="25"/>
    </row>
    <row r="2950" spans="7:9" x14ac:dyDescent="0.2">
      <c r="G2950" s="23"/>
      <c r="H2950" s="24"/>
      <c r="I2950" s="25"/>
    </row>
    <row r="2951" spans="7:9" x14ac:dyDescent="0.2">
      <c r="G2951" s="23"/>
      <c r="H2951" s="24"/>
      <c r="I2951" s="25"/>
    </row>
    <row r="2952" spans="7:9" x14ac:dyDescent="0.2">
      <c r="G2952" s="23"/>
      <c r="H2952" s="24"/>
      <c r="I2952" s="25"/>
    </row>
    <row r="2953" spans="7:9" x14ac:dyDescent="0.2">
      <c r="G2953" s="23"/>
      <c r="H2953" s="24"/>
      <c r="I2953" s="25"/>
    </row>
    <row r="2954" spans="7:9" x14ac:dyDescent="0.2">
      <c r="G2954" s="23"/>
      <c r="H2954" s="24"/>
      <c r="I2954" s="25"/>
    </row>
    <row r="2955" spans="7:9" x14ac:dyDescent="0.2">
      <c r="G2955" s="23"/>
      <c r="H2955" s="24"/>
      <c r="I2955" s="25"/>
    </row>
    <row r="2956" spans="7:9" x14ac:dyDescent="0.2">
      <c r="G2956" s="23"/>
      <c r="H2956" s="24"/>
      <c r="I2956" s="25"/>
    </row>
    <row r="2957" spans="7:9" x14ac:dyDescent="0.2">
      <c r="G2957" s="23"/>
      <c r="H2957" s="24"/>
      <c r="I2957" s="25"/>
    </row>
    <row r="2958" spans="7:9" x14ac:dyDescent="0.2">
      <c r="G2958" s="23"/>
      <c r="H2958" s="24"/>
      <c r="I2958" s="25"/>
    </row>
    <row r="2959" spans="7:9" x14ac:dyDescent="0.2">
      <c r="G2959" s="23"/>
      <c r="H2959" s="24"/>
      <c r="I2959" s="25"/>
    </row>
    <row r="2960" spans="7:9" x14ac:dyDescent="0.2">
      <c r="G2960" s="23"/>
      <c r="H2960" s="24"/>
      <c r="I2960" s="25"/>
    </row>
    <row r="2961" spans="7:9" x14ac:dyDescent="0.2">
      <c r="G2961" s="23"/>
      <c r="H2961" s="24"/>
      <c r="I2961" s="25"/>
    </row>
    <row r="2962" spans="7:9" x14ac:dyDescent="0.2">
      <c r="G2962" s="23"/>
      <c r="H2962" s="24"/>
      <c r="I2962" s="25"/>
    </row>
    <row r="2963" spans="7:9" x14ac:dyDescent="0.2">
      <c r="G2963" s="23"/>
      <c r="H2963" s="24"/>
      <c r="I2963" s="25"/>
    </row>
    <row r="2964" spans="7:9" x14ac:dyDescent="0.2">
      <c r="G2964" s="23"/>
      <c r="H2964" s="24"/>
      <c r="I2964" s="25"/>
    </row>
    <row r="2965" spans="7:9" x14ac:dyDescent="0.2">
      <c r="G2965" s="23"/>
      <c r="H2965" s="24"/>
      <c r="I2965" s="25"/>
    </row>
    <row r="2966" spans="7:9" x14ac:dyDescent="0.2">
      <c r="G2966" s="23"/>
      <c r="H2966" s="24"/>
      <c r="I2966" s="25"/>
    </row>
    <row r="2967" spans="7:9" x14ac:dyDescent="0.2">
      <c r="G2967" s="23"/>
      <c r="H2967" s="24"/>
      <c r="I2967" s="25"/>
    </row>
    <row r="2968" spans="7:9" x14ac:dyDescent="0.2">
      <c r="G2968" s="23"/>
      <c r="H2968" s="24"/>
      <c r="I2968" s="25"/>
    </row>
    <row r="2969" spans="7:9" x14ac:dyDescent="0.2">
      <c r="G2969" s="23"/>
      <c r="H2969" s="24"/>
      <c r="I2969" s="25"/>
    </row>
    <row r="2970" spans="7:9" x14ac:dyDescent="0.2">
      <c r="G2970" s="23"/>
      <c r="H2970" s="24"/>
      <c r="I2970" s="25"/>
    </row>
    <row r="2971" spans="7:9" x14ac:dyDescent="0.2">
      <c r="G2971" s="23"/>
      <c r="H2971" s="24"/>
      <c r="I2971" s="25"/>
    </row>
    <row r="2972" spans="7:9" x14ac:dyDescent="0.2">
      <c r="G2972" s="23"/>
      <c r="H2972" s="24"/>
      <c r="I2972" s="25"/>
    </row>
    <row r="2973" spans="7:9" x14ac:dyDescent="0.2">
      <c r="G2973" s="23"/>
      <c r="H2973" s="24"/>
      <c r="I2973" s="25"/>
    </row>
    <row r="2974" spans="7:9" x14ac:dyDescent="0.2">
      <c r="G2974" s="23"/>
      <c r="H2974" s="24"/>
      <c r="I2974" s="25"/>
    </row>
    <row r="2975" spans="7:9" x14ac:dyDescent="0.2">
      <c r="G2975" s="23"/>
      <c r="H2975" s="24"/>
      <c r="I2975" s="25"/>
    </row>
    <row r="2976" spans="7:9" x14ac:dyDescent="0.2">
      <c r="G2976" s="23"/>
      <c r="H2976" s="24"/>
      <c r="I2976" s="25"/>
    </row>
    <row r="2977" spans="7:9" x14ac:dyDescent="0.2">
      <c r="G2977" s="23"/>
      <c r="H2977" s="24"/>
      <c r="I2977" s="25"/>
    </row>
    <row r="2978" spans="7:9" x14ac:dyDescent="0.2">
      <c r="G2978" s="23"/>
      <c r="H2978" s="24"/>
      <c r="I2978" s="25"/>
    </row>
    <row r="2979" spans="7:9" x14ac:dyDescent="0.2">
      <c r="G2979" s="23"/>
      <c r="H2979" s="24"/>
      <c r="I2979" s="25"/>
    </row>
    <row r="2980" spans="7:9" x14ac:dyDescent="0.2">
      <c r="G2980" s="23"/>
      <c r="H2980" s="24"/>
      <c r="I2980" s="25"/>
    </row>
    <row r="2981" spans="7:9" x14ac:dyDescent="0.2">
      <c r="G2981" s="23"/>
      <c r="H2981" s="24"/>
      <c r="I2981" s="25"/>
    </row>
    <row r="2982" spans="7:9" x14ac:dyDescent="0.2">
      <c r="G2982" s="23"/>
      <c r="H2982" s="24"/>
      <c r="I2982" s="25"/>
    </row>
    <row r="2983" spans="7:9" x14ac:dyDescent="0.2">
      <c r="G2983" s="23"/>
      <c r="H2983" s="24"/>
      <c r="I2983" s="25"/>
    </row>
    <row r="2984" spans="7:9" x14ac:dyDescent="0.2">
      <c r="G2984" s="23"/>
      <c r="H2984" s="24"/>
      <c r="I2984" s="25"/>
    </row>
    <row r="2985" spans="7:9" x14ac:dyDescent="0.2">
      <c r="G2985" s="23"/>
      <c r="H2985" s="24"/>
      <c r="I2985" s="25"/>
    </row>
    <row r="2986" spans="7:9" x14ac:dyDescent="0.2">
      <c r="G2986" s="23"/>
      <c r="H2986" s="24"/>
      <c r="I2986" s="25"/>
    </row>
    <row r="2987" spans="7:9" x14ac:dyDescent="0.2">
      <c r="G2987" s="23"/>
      <c r="H2987" s="24"/>
      <c r="I2987" s="25"/>
    </row>
    <row r="2988" spans="7:9" x14ac:dyDescent="0.2">
      <c r="G2988" s="23"/>
      <c r="H2988" s="24"/>
      <c r="I2988" s="25"/>
    </row>
    <row r="2989" spans="7:9" x14ac:dyDescent="0.2">
      <c r="G2989" s="23"/>
      <c r="H2989" s="24"/>
      <c r="I2989" s="25"/>
    </row>
    <row r="2990" spans="7:9" x14ac:dyDescent="0.2">
      <c r="G2990" s="23"/>
      <c r="H2990" s="24"/>
      <c r="I2990" s="25"/>
    </row>
    <row r="2991" spans="7:9" x14ac:dyDescent="0.2">
      <c r="G2991" s="23"/>
      <c r="H2991" s="24"/>
      <c r="I2991" s="25"/>
    </row>
    <row r="2992" spans="7:9" x14ac:dyDescent="0.2">
      <c r="G2992" s="23"/>
      <c r="H2992" s="24"/>
      <c r="I2992" s="25"/>
    </row>
    <row r="2993" spans="7:9" x14ac:dyDescent="0.2">
      <c r="G2993" s="23"/>
      <c r="H2993" s="24"/>
      <c r="I2993" s="25"/>
    </row>
    <row r="2994" spans="7:9" x14ac:dyDescent="0.2">
      <c r="G2994" s="23"/>
      <c r="H2994" s="24"/>
      <c r="I2994" s="25"/>
    </row>
    <row r="2995" spans="7:9" x14ac:dyDescent="0.2">
      <c r="G2995" s="23"/>
      <c r="H2995" s="24"/>
      <c r="I2995" s="25"/>
    </row>
    <row r="2996" spans="7:9" x14ac:dyDescent="0.2">
      <c r="G2996" s="23"/>
      <c r="H2996" s="24"/>
      <c r="I2996" s="25"/>
    </row>
    <row r="2997" spans="7:9" x14ac:dyDescent="0.2">
      <c r="G2997" s="23"/>
      <c r="H2997" s="24"/>
      <c r="I2997" s="25"/>
    </row>
    <row r="2998" spans="7:9" x14ac:dyDescent="0.2">
      <c r="G2998" s="23"/>
      <c r="H2998" s="24"/>
      <c r="I2998" s="25"/>
    </row>
    <row r="2999" spans="7:9" x14ac:dyDescent="0.2">
      <c r="G2999" s="23"/>
      <c r="H2999" s="24"/>
      <c r="I2999" s="25"/>
    </row>
    <row r="3000" spans="7:9" x14ac:dyDescent="0.2">
      <c r="G3000" s="23"/>
      <c r="H3000" s="24"/>
      <c r="I3000" s="25"/>
    </row>
    <row r="3001" spans="7:9" x14ac:dyDescent="0.2">
      <c r="G3001" s="23"/>
      <c r="H3001" s="24"/>
      <c r="I3001" s="25"/>
    </row>
    <row r="3002" spans="7:9" x14ac:dyDescent="0.2">
      <c r="G3002" s="23"/>
      <c r="H3002" s="24"/>
      <c r="I3002" s="25"/>
    </row>
    <row r="3003" spans="7:9" x14ac:dyDescent="0.2">
      <c r="G3003" s="23"/>
      <c r="H3003" s="24"/>
      <c r="I3003" s="25"/>
    </row>
    <row r="3004" spans="7:9" x14ac:dyDescent="0.2">
      <c r="G3004" s="23"/>
      <c r="H3004" s="24"/>
      <c r="I3004" s="25"/>
    </row>
    <row r="3005" spans="7:9" x14ac:dyDescent="0.2">
      <c r="G3005" s="23"/>
      <c r="H3005" s="24"/>
      <c r="I3005" s="25"/>
    </row>
    <row r="3006" spans="7:9" x14ac:dyDescent="0.2">
      <c r="G3006" s="23"/>
      <c r="H3006" s="24"/>
      <c r="I3006" s="25"/>
    </row>
    <row r="3007" spans="7:9" x14ac:dyDescent="0.2">
      <c r="G3007" s="23"/>
      <c r="H3007" s="24"/>
      <c r="I3007" s="25"/>
    </row>
    <row r="3008" spans="7:9" x14ac:dyDescent="0.2">
      <c r="G3008" s="23"/>
      <c r="H3008" s="24"/>
      <c r="I3008" s="25"/>
    </row>
    <row r="3009" spans="7:9" x14ac:dyDescent="0.2">
      <c r="G3009" s="23"/>
      <c r="H3009" s="24"/>
      <c r="I3009" s="25"/>
    </row>
    <row r="3010" spans="7:9" x14ac:dyDescent="0.2">
      <c r="G3010" s="23"/>
      <c r="H3010" s="24"/>
      <c r="I3010" s="25"/>
    </row>
    <row r="3011" spans="7:9" x14ac:dyDescent="0.2">
      <c r="G3011" s="23"/>
      <c r="H3011" s="24"/>
      <c r="I3011" s="25"/>
    </row>
    <row r="3012" spans="7:9" x14ac:dyDescent="0.2">
      <c r="G3012" s="23"/>
      <c r="H3012" s="24"/>
      <c r="I3012" s="25"/>
    </row>
    <row r="3013" spans="7:9" x14ac:dyDescent="0.2">
      <c r="G3013" s="23"/>
      <c r="H3013" s="24"/>
      <c r="I3013" s="25"/>
    </row>
    <row r="3014" spans="7:9" x14ac:dyDescent="0.2">
      <c r="G3014" s="23"/>
      <c r="H3014" s="24"/>
      <c r="I3014" s="25"/>
    </row>
    <row r="3015" spans="7:9" x14ac:dyDescent="0.2">
      <c r="G3015" s="23"/>
      <c r="H3015" s="24"/>
      <c r="I3015" s="25"/>
    </row>
    <row r="3016" spans="7:9" x14ac:dyDescent="0.2">
      <c r="G3016" s="23"/>
      <c r="H3016" s="24"/>
      <c r="I3016" s="25"/>
    </row>
    <row r="3017" spans="7:9" x14ac:dyDescent="0.2">
      <c r="G3017" s="23"/>
      <c r="H3017" s="24"/>
      <c r="I3017" s="25"/>
    </row>
    <row r="3018" spans="7:9" x14ac:dyDescent="0.2">
      <c r="G3018" s="23"/>
      <c r="H3018" s="24"/>
      <c r="I3018" s="25"/>
    </row>
    <row r="3019" spans="7:9" x14ac:dyDescent="0.2">
      <c r="G3019" s="23"/>
      <c r="H3019" s="24"/>
      <c r="I3019" s="25"/>
    </row>
    <row r="3020" spans="7:9" x14ac:dyDescent="0.2">
      <c r="G3020" s="23"/>
      <c r="H3020" s="24"/>
      <c r="I3020" s="25"/>
    </row>
    <row r="3021" spans="7:9" x14ac:dyDescent="0.2">
      <c r="G3021" s="23"/>
      <c r="H3021" s="24"/>
      <c r="I3021" s="25"/>
    </row>
    <row r="3022" spans="7:9" x14ac:dyDescent="0.2">
      <c r="G3022" s="23"/>
      <c r="H3022" s="24"/>
      <c r="I3022" s="25"/>
    </row>
    <row r="3023" spans="7:9" x14ac:dyDescent="0.2">
      <c r="G3023" s="23"/>
      <c r="H3023" s="24"/>
      <c r="I3023" s="25"/>
    </row>
    <row r="3024" spans="7:9" x14ac:dyDescent="0.2">
      <c r="G3024" s="23"/>
      <c r="H3024" s="24"/>
      <c r="I3024" s="25"/>
    </row>
    <row r="3025" spans="7:9" x14ac:dyDescent="0.2">
      <c r="G3025" s="23"/>
      <c r="H3025" s="24"/>
      <c r="I3025" s="25"/>
    </row>
    <row r="3026" spans="7:9" x14ac:dyDescent="0.2">
      <c r="G3026" s="23"/>
      <c r="H3026" s="24"/>
      <c r="I3026" s="25"/>
    </row>
    <row r="3027" spans="7:9" x14ac:dyDescent="0.2">
      <c r="G3027" s="23"/>
      <c r="H3027" s="24"/>
      <c r="I3027" s="25"/>
    </row>
    <row r="3028" spans="7:9" x14ac:dyDescent="0.2">
      <c r="G3028" s="23"/>
      <c r="H3028" s="24"/>
      <c r="I3028" s="25"/>
    </row>
    <row r="3029" spans="7:9" x14ac:dyDescent="0.2">
      <c r="G3029" s="23"/>
      <c r="H3029" s="24"/>
      <c r="I3029" s="25"/>
    </row>
    <row r="3030" spans="7:9" x14ac:dyDescent="0.2">
      <c r="G3030" s="23"/>
      <c r="H3030" s="24"/>
      <c r="I3030" s="25"/>
    </row>
    <row r="3031" spans="7:9" x14ac:dyDescent="0.2">
      <c r="G3031" s="23"/>
      <c r="H3031" s="24"/>
      <c r="I3031" s="25"/>
    </row>
    <row r="3032" spans="7:9" x14ac:dyDescent="0.2">
      <c r="G3032" s="23"/>
      <c r="H3032" s="24"/>
      <c r="I3032" s="25"/>
    </row>
    <row r="3033" spans="7:9" x14ac:dyDescent="0.2">
      <c r="G3033" s="23"/>
      <c r="H3033" s="24"/>
      <c r="I3033" s="25"/>
    </row>
    <row r="3034" spans="7:9" x14ac:dyDescent="0.2">
      <c r="G3034" s="23"/>
      <c r="H3034" s="24"/>
      <c r="I3034" s="25"/>
    </row>
    <row r="3035" spans="7:9" x14ac:dyDescent="0.2">
      <c r="G3035" s="23"/>
      <c r="H3035" s="24"/>
      <c r="I3035" s="25"/>
    </row>
    <row r="3036" spans="7:9" x14ac:dyDescent="0.2">
      <c r="G3036" s="23"/>
      <c r="H3036" s="24"/>
      <c r="I3036" s="25"/>
    </row>
    <row r="3037" spans="7:9" x14ac:dyDescent="0.2">
      <c r="G3037" s="23"/>
      <c r="H3037" s="24"/>
      <c r="I3037" s="25"/>
    </row>
    <row r="3038" spans="7:9" x14ac:dyDescent="0.2">
      <c r="G3038" s="23"/>
      <c r="H3038" s="24"/>
      <c r="I3038" s="25"/>
    </row>
    <row r="3039" spans="7:9" x14ac:dyDescent="0.2">
      <c r="G3039" s="23"/>
      <c r="H3039" s="24"/>
      <c r="I3039" s="25"/>
    </row>
    <row r="3040" spans="7:9" x14ac:dyDescent="0.2">
      <c r="G3040" s="23"/>
      <c r="H3040" s="24"/>
      <c r="I3040" s="25"/>
    </row>
    <row r="3041" spans="7:9" x14ac:dyDescent="0.2">
      <c r="G3041" s="23"/>
      <c r="H3041" s="24"/>
      <c r="I3041" s="25"/>
    </row>
    <row r="3042" spans="7:9" x14ac:dyDescent="0.2">
      <c r="G3042" s="23"/>
      <c r="H3042" s="24"/>
      <c r="I3042" s="25"/>
    </row>
    <row r="3043" spans="7:9" x14ac:dyDescent="0.2">
      <c r="G3043" s="23"/>
      <c r="H3043" s="24"/>
      <c r="I3043" s="25"/>
    </row>
    <row r="3044" spans="7:9" x14ac:dyDescent="0.2">
      <c r="G3044" s="23"/>
      <c r="H3044" s="24"/>
      <c r="I3044" s="25"/>
    </row>
    <row r="3045" spans="7:9" x14ac:dyDescent="0.2">
      <c r="G3045" s="23"/>
      <c r="H3045" s="24"/>
      <c r="I3045" s="25"/>
    </row>
    <row r="3046" spans="7:9" x14ac:dyDescent="0.2">
      <c r="G3046" s="23"/>
      <c r="H3046" s="24"/>
      <c r="I3046" s="25"/>
    </row>
    <row r="3047" spans="7:9" x14ac:dyDescent="0.2">
      <c r="G3047" s="23"/>
      <c r="H3047" s="24"/>
      <c r="I3047" s="25"/>
    </row>
    <row r="3048" spans="7:9" x14ac:dyDescent="0.2">
      <c r="G3048" s="23"/>
      <c r="H3048" s="24"/>
      <c r="I3048" s="25"/>
    </row>
    <row r="3049" spans="7:9" x14ac:dyDescent="0.2">
      <c r="G3049" s="23"/>
      <c r="H3049" s="24"/>
      <c r="I3049" s="25"/>
    </row>
    <row r="3050" spans="7:9" x14ac:dyDescent="0.2">
      <c r="G3050" s="23"/>
      <c r="H3050" s="24"/>
      <c r="I3050" s="25"/>
    </row>
    <row r="3051" spans="7:9" x14ac:dyDescent="0.2">
      <c r="G3051" s="23"/>
      <c r="H3051" s="24"/>
      <c r="I3051" s="25"/>
    </row>
    <row r="3052" spans="7:9" x14ac:dyDescent="0.2">
      <c r="G3052" s="23"/>
      <c r="H3052" s="24"/>
      <c r="I3052" s="25"/>
    </row>
    <row r="3053" spans="7:9" x14ac:dyDescent="0.2">
      <c r="G3053" s="23"/>
      <c r="H3053" s="24"/>
      <c r="I3053" s="25"/>
    </row>
    <row r="3054" spans="7:9" x14ac:dyDescent="0.2">
      <c r="G3054" s="23"/>
      <c r="H3054" s="24"/>
      <c r="I3054" s="25"/>
    </row>
    <row r="3055" spans="7:9" x14ac:dyDescent="0.2">
      <c r="G3055" s="23"/>
      <c r="H3055" s="24"/>
      <c r="I3055" s="25"/>
    </row>
    <row r="3056" spans="7:9" x14ac:dyDescent="0.2">
      <c r="G3056" s="23"/>
      <c r="H3056" s="24"/>
      <c r="I3056" s="25"/>
    </row>
    <row r="3057" spans="7:9" x14ac:dyDescent="0.2">
      <c r="G3057" s="23"/>
      <c r="H3057" s="24"/>
      <c r="I3057" s="25"/>
    </row>
    <row r="3058" spans="7:9" x14ac:dyDescent="0.2">
      <c r="G3058" s="23"/>
      <c r="H3058" s="24"/>
      <c r="I3058" s="25"/>
    </row>
    <row r="3059" spans="7:9" x14ac:dyDescent="0.2">
      <c r="G3059" s="23"/>
      <c r="H3059" s="24"/>
      <c r="I3059" s="25"/>
    </row>
    <row r="3060" spans="7:9" x14ac:dyDescent="0.2">
      <c r="G3060" s="23"/>
      <c r="H3060" s="24"/>
      <c r="I3060" s="25"/>
    </row>
    <row r="3061" spans="7:9" x14ac:dyDescent="0.2">
      <c r="G3061" s="23"/>
      <c r="H3061" s="24"/>
      <c r="I3061" s="25"/>
    </row>
    <row r="3062" spans="7:9" x14ac:dyDescent="0.2">
      <c r="G3062" s="23"/>
      <c r="H3062" s="24"/>
      <c r="I3062" s="25"/>
    </row>
    <row r="3063" spans="7:9" x14ac:dyDescent="0.2">
      <c r="G3063" s="23"/>
      <c r="H3063" s="24"/>
      <c r="I3063" s="25"/>
    </row>
    <row r="3064" spans="7:9" x14ac:dyDescent="0.2">
      <c r="G3064" s="23"/>
      <c r="H3064" s="24"/>
      <c r="I3064" s="25"/>
    </row>
    <row r="3065" spans="7:9" x14ac:dyDescent="0.2">
      <c r="G3065" s="23"/>
      <c r="H3065" s="24"/>
      <c r="I3065" s="25"/>
    </row>
    <row r="3066" spans="7:9" x14ac:dyDescent="0.2">
      <c r="G3066" s="23"/>
      <c r="H3066" s="24"/>
      <c r="I3066" s="25"/>
    </row>
    <row r="3067" spans="7:9" x14ac:dyDescent="0.2">
      <c r="G3067" s="23"/>
      <c r="H3067" s="24"/>
      <c r="I3067" s="25"/>
    </row>
    <row r="3068" spans="7:9" x14ac:dyDescent="0.2">
      <c r="G3068" s="23"/>
      <c r="H3068" s="24"/>
      <c r="I3068" s="25"/>
    </row>
    <row r="3069" spans="7:9" x14ac:dyDescent="0.2">
      <c r="G3069" s="23"/>
      <c r="H3069" s="24"/>
      <c r="I3069" s="25"/>
    </row>
    <row r="3070" spans="7:9" x14ac:dyDescent="0.2">
      <c r="G3070" s="23"/>
      <c r="H3070" s="24"/>
      <c r="I3070" s="25"/>
    </row>
    <row r="3071" spans="7:9" x14ac:dyDescent="0.2">
      <c r="G3071" s="23"/>
      <c r="H3071" s="24"/>
      <c r="I3071" s="25"/>
    </row>
    <row r="3072" spans="7:9" x14ac:dyDescent="0.2">
      <c r="G3072" s="23"/>
      <c r="H3072" s="24"/>
      <c r="I3072" s="25"/>
    </row>
    <row r="3073" spans="7:9" x14ac:dyDescent="0.2">
      <c r="G3073" s="23"/>
      <c r="H3073" s="24"/>
      <c r="I3073" s="25"/>
    </row>
    <row r="3074" spans="7:9" x14ac:dyDescent="0.2">
      <c r="G3074" s="23"/>
      <c r="H3074" s="24"/>
      <c r="I3074" s="25"/>
    </row>
    <row r="3075" spans="7:9" x14ac:dyDescent="0.2">
      <c r="G3075" s="23"/>
      <c r="H3075" s="24"/>
      <c r="I3075" s="25"/>
    </row>
    <row r="3076" spans="7:9" x14ac:dyDescent="0.2">
      <c r="G3076" s="23"/>
      <c r="H3076" s="24"/>
      <c r="I3076" s="25"/>
    </row>
    <row r="3077" spans="7:9" x14ac:dyDescent="0.2">
      <c r="G3077" s="23"/>
      <c r="H3077" s="24"/>
      <c r="I3077" s="25"/>
    </row>
    <row r="3078" spans="7:9" x14ac:dyDescent="0.2">
      <c r="G3078" s="23"/>
      <c r="H3078" s="24"/>
      <c r="I3078" s="25"/>
    </row>
    <row r="3079" spans="7:9" x14ac:dyDescent="0.2">
      <c r="G3079" s="23"/>
      <c r="H3079" s="24"/>
      <c r="I3079" s="25"/>
    </row>
    <row r="3080" spans="7:9" x14ac:dyDescent="0.2">
      <c r="G3080" s="23"/>
      <c r="H3080" s="24"/>
      <c r="I3080" s="25"/>
    </row>
    <row r="3081" spans="7:9" x14ac:dyDescent="0.2">
      <c r="G3081" s="23"/>
      <c r="H3081" s="24"/>
      <c r="I3081" s="25"/>
    </row>
    <row r="3082" spans="7:9" x14ac:dyDescent="0.2">
      <c r="G3082" s="23"/>
      <c r="H3082" s="24"/>
      <c r="I3082" s="25"/>
    </row>
    <row r="3083" spans="7:9" x14ac:dyDescent="0.2">
      <c r="G3083" s="23"/>
      <c r="H3083" s="24"/>
      <c r="I3083" s="25"/>
    </row>
    <row r="3084" spans="7:9" x14ac:dyDescent="0.2">
      <c r="G3084" s="23"/>
      <c r="H3084" s="24"/>
      <c r="I3084" s="25"/>
    </row>
    <row r="3085" spans="7:9" x14ac:dyDescent="0.2">
      <c r="G3085" s="23"/>
      <c r="H3085" s="24"/>
      <c r="I3085" s="25"/>
    </row>
    <row r="3086" spans="7:9" x14ac:dyDescent="0.2">
      <c r="G3086" s="23"/>
      <c r="H3086" s="24"/>
      <c r="I3086" s="25"/>
    </row>
    <row r="3087" spans="7:9" x14ac:dyDescent="0.2">
      <c r="G3087" s="23"/>
      <c r="H3087" s="24"/>
      <c r="I3087" s="25"/>
    </row>
    <row r="3088" spans="7:9" x14ac:dyDescent="0.2">
      <c r="G3088" s="23"/>
      <c r="H3088" s="24"/>
      <c r="I3088" s="25"/>
    </row>
    <row r="3089" spans="7:9" x14ac:dyDescent="0.2">
      <c r="G3089" s="23"/>
      <c r="H3089" s="24"/>
      <c r="I3089" s="25"/>
    </row>
    <row r="3090" spans="7:9" x14ac:dyDescent="0.2">
      <c r="G3090" s="23"/>
      <c r="H3090" s="24"/>
      <c r="I3090" s="25"/>
    </row>
    <row r="3091" spans="7:9" x14ac:dyDescent="0.2">
      <c r="G3091" s="23"/>
      <c r="H3091" s="24"/>
      <c r="I3091" s="25"/>
    </row>
    <row r="3092" spans="7:9" x14ac:dyDescent="0.2">
      <c r="G3092" s="23"/>
      <c r="H3092" s="24"/>
      <c r="I3092" s="25"/>
    </row>
    <row r="3093" spans="7:9" x14ac:dyDescent="0.2">
      <c r="G3093" s="23"/>
      <c r="H3093" s="24"/>
      <c r="I3093" s="25"/>
    </row>
    <row r="3094" spans="7:9" x14ac:dyDescent="0.2">
      <c r="G3094" s="23"/>
      <c r="H3094" s="24"/>
      <c r="I3094" s="25"/>
    </row>
    <row r="3095" spans="7:9" x14ac:dyDescent="0.2">
      <c r="G3095" s="23"/>
      <c r="H3095" s="24"/>
      <c r="I3095" s="25"/>
    </row>
    <row r="3096" spans="7:9" x14ac:dyDescent="0.2">
      <c r="G3096" s="23"/>
      <c r="H3096" s="24"/>
      <c r="I3096" s="25"/>
    </row>
    <row r="3097" spans="7:9" x14ac:dyDescent="0.2">
      <c r="G3097" s="23"/>
      <c r="H3097" s="24"/>
      <c r="I3097" s="25"/>
    </row>
    <row r="3098" spans="7:9" x14ac:dyDescent="0.2">
      <c r="G3098" s="23"/>
      <c r="H3098" s="24"/>
      <c r="I3098" s="25"/>
    </row>
    <row r="3099" spans="7:9" x14ac:dyDescent="0.2">
      <c r="G3099" s="23"/>
      <c r="H3099" s="24"/>
      <c r="I3099" s="25"/>
    </row>
    <row r="3100" spans="7:9" x14ac:dyDescent="0.2">
      <c r="G3100" s="23"/>
      <c r="H3100" s="24"/>
      <c r="I3100" s="25"/>
    </row>
    <row r="3101" spans="7:9" x14ac:dyDescent="0.2">
      <c r="G3101" s="23"/>
      <c r="H3101" s="24"/>
      <c r="I3101" s="25"/>
    </row>
    <row r="3102" spans="7:9" x14ac:dyDescent="0.2">
      <c r="G3102" s="23"/>
      <c r="H3102" s="24"/>
      <c r="I3102" s="25"/>
    </row>
    <row r="3103" spans="7:9" x14ac:dyDescent="0.2">
      <c r="G3103" s="23"/>
      <c r="H3103" s="24"/>
      <c r="I3103" s="25"/>
    </row>
    <row r="3104" spans="7:9" x14ac:dyDescent="0.2">
      <c r="G3104" s="23"/>
      <c r="H3104" s="24"/>
      <c r="I3104" s="25"/>
    </row>
    <row r="3105" spans="7:9" x14ac:dyDescent="0.2">
      <c r="G3105" s="23"/>
      <c r="H3105" s="24"/>
      <c r="I3105" s="25"/>
    </row>
    <row r="3106" spans="7:9" x14ac:dyDescent="0.2">
      <c r="G3106" s="23"/>
      <c r="H3106" s="24"/>
      <c r="I3106" s="25"/>
    </row>
    <row r="3107" spans="7:9" x14ac:dyDescent="0.2">
      <c r="G3107" s="23"/>
      <c r="H3107" s="24"/>
      <c r="I3107" s="25"/>
    </row>
    <row r="3108" spans="7:9" x14ac:dyDescent="0.2">
      <c r="G3108" s="23"/>
      <c r="H3108" s="24"/>
      <c r="I3108" s="25"/>
    </row>
    <row r="3109" spans="7:9" x14ac:dyDescent="0.2">
      <c r="G3109" s="23"/>
      <c r="H3109" s="24"/>
      <c r="I3109" s="25"/>
    </row>
    <row r="3110" spans="7:9" x14ac:dyDescent="0.2">
      <c r="G3110" s="23"/>
      <c r="H3110" s="24"/>
      <c r="I3110" s="25"/>
    </row>
    <row r="3111" spans="7:9" x14ac:dyDescent="0.2">
      <c r="G3111" s="23"/>
      <c r="H3111" s="24"/>
      <c r="I3111" s="25"/>
    </row>
    <row r="3112" spans="7:9" x14ac:dyDescent="0.2">
      <c r="G3112" s="23"/>
      <c r="H3112" s="24"/>
      <c r="I3112" s="25"/>
    </row>
    <row r="3113" spans="7:9" x14ac:dyDescent="0.2">
      <c r="G3113" s="23"/>
      <c r="H3113" s="24"/>
      <c r="I3113" s="25"/>
    </row>
    <row r="3114" spans="7:9" x14ac:dyDescent="0.2">
      <c r="G3114" s="23"/>
      <c r="H3114" s="24"/>
      <c r="I3114" s="25"/>
    </row>
    <row r="3115" spans="7:9" x14ac:dyDescent="0.2">
      <c r="G3115" s="23"/>
      <c r="H3115" s="24"/>
      <c r="I3115" s="25"/>
    </row>
    <row r="3116" spans="7:9" x14ac:dyDescent="0.2">
      <c r="G3116" s="23"/>
      <c r="H3116" s="24"/>
      <c r="I3116" s="25"/>
    </row>
    <row r="3117" spans="7:9" x14ac:dyDescent="0.2">
      <c r="G3117" s="23"/>
      <c r="H3117" s="24"/>
      <c r="I3117" s="25"/>
    </row>
    <row r="3118" spans="7:9" x14ac:dyDescent="0.2">
      <c r="G3118" s="23"/>
      <c r="H3118" s="24"/>
      <c r="I3118" s="25"/>
    </row>
    <row r="3119" spans="7:9" x14ac:dyDescent="0.2">
      <c r="G3119" s="23"/>
      <c r="H3119" s="24"/>
      <c r="I3119" s="25"/>
    </row>
    <row r="3120" spans="7:9" x14ac:dyDescent="0.2">
      <c r="G3120" s="23"/>
      <c r="H3120" s="24"/>
      <c r="I3120" s="25"/>
    </row>
    <row r="3121" spans="7:9" x14ac:dyDescent="0.2">
      <c r="G3121" s="23"/>
      <c r="H3121" s="24"/>
      <c r="I3121" s="25"/>
    </row>
    <row r="3122" spans="7:9" x14ac:dyDescent="0.2">
      <c r="G3122" s="23"/>
      <c r="H3122" s="24"/>
      <c r="I3122" s="25"/>
    </row>
    <row r="3123" spans="7:9" x14ac:dyDescent="0.2">
      <c r="G3123" s="23"/>
      <c r="H3123" s="24"/>
      <c r="I3123" s="25"/>
    </row>
    <row r="3124" spans="7:9" x14ac:dyDescent="0.2">
      <c r="G3124" s="23"/>
      <c r="H3124" s="24"/>
      <c r="I3124" s="25"/>
    </row>
    <row r="3125" spans="7:9" x14ac:dyDescent="0.2">
      <c r="G3125" s="23"/>
      <c r="H3125" s="24"/>
      <c r="I3125" s="25"/>
    </row>
    <row r="3126" spans="7:9" x14ac:dyDescent="0.2">
      <c r="G3126" s="23"/>
      <c r="H3126" s="24"/>
      <c r="I3126" s="25"/>
    </row>
    <row r="3127" spans="7:9" x14ac:dyDescent="0.2">
      <c r="G3127" s="23"/>
      <c r="H3127" s="24"/>
      <c r="I3127" s="25"/>
    </row>
    <row r="3128" spans="7:9" x14ac:dyDescent="0.2">
      <c r="G3128" s="23"/>
      <c r="H3128" s="24"/>
      <c r="I3128" s="25"/>
    </row>
    <row r="3129" spans="7:9" x14ac:dyDescent="0.2">
      <c r="G3129" s="23"/>
      <c r="H3129" s="24"/>
      <c r="I3129" s="25"/>
    </row>
    <row r="3130" spans="7:9" x14ac:dyDescent="0.2">
      <c r="G3130" s="23"/>
      <c r="H3130" s="24"/>
      <c r="I3130" s="25"/>
    </row>
    <row r="3131" spans="7:9" x14ac:dyDescent="0.2">
      <c r="G3131" s="23"/>
      <c r="H3131" s="24"/>
      <c r="I3131" s="25"/>
    </row>
    <row r="3132" spans="7:9" x14ac:dyDescent="0.2">
      <c r="G3132" s="23"/>
      <c r="H3132" s="24"/>
      <c r="I3132" s="25"/>
    </row>
    <row r="3133" spans="7:9" x14ac:dyDescent="0.2">
      <c r="G3133" s="23"/>
      <c r="H3133" s="24"/>
      <c r="I3133" s="25"/>
    </row>
    <row r="3134" spans="7:9" x14ac:dyDescent="0.2">
      <c r="G3134" s="23"/>
      <c r="H3134" s="24"/>
      <c r="I3134" s="25"/>
    </row>
    <row r="3135" spans="7:9" x14ac:dyDescent="0.2">
      <c r="G3135" s="23"/>
      <c r="H3135" s="24"/>
      <c r="I3135" s="25"/>
    </row>
    <row r="3136" spans="7:9" x14ac:dyDescent="0.2">
      <c r="G3136" s="23"/>
      <c r="H3136" s="24"/>
      <c r="I3136" s="25"/>
    </row>
    <row r="3137" spans="7:9" x14ac:dyDescent="0.2">
      <c r="G3137" s="23"/>
      <c r="H3137" s="24"/>
      <c r="I3137" s="25"/>
    </row>
    <row r="3138" spans="7:9" x14ac:dyDescent="0.2">
      <c r="G3138" s="23"/>
      <c r="H3138" s="24"/>
      <c r="I3138" s="25"/>
    </row>
    <row r="3139" spans="7:9" x14ac:dyDescent="0.2">
      <c r="G3139" s="23"/>
      <c r="H3139" s="24"/>
      <c r="I3139" s="25"/>
    </row>
    <row r="3140" spans="7:9" x14ac:dyDescent="0.2">
      <c r="G3140" s="23"/>
      <c r="H3140" s="24"/>
      <c r="I3140" s="25"/>
    </row>
    <row r="3141" spans="7:9" x14ac:dyDescent="0.2">
      <c r="G3141" s="23"/>
      <c r="H3141" s="24"/>
      <c r="I3141" s="25"/>
    </row>
    <row r="3142" spans="7:9" x14ac:dyDescent="0.2">
      <c r="G3142" s="23"/>
      <c r="H3142" s="24"/>
      <c r="I3142" s="25"/>
    </row>
    <row r="3143" spans="7:9" x14ac:dyDescent="0.2">
      <c r="G3143" s="23"/>
      <c r="H3143" s="24"/>
      <c r="I3143" s="25"/>
    </row>
    <row r="3144" spans="7:9" x14ac:dyDescent="0.2">
      <c r="G3144" s="23"/>
      <c r="H3144" s="24"/>
      <c r="I3144" s="25"/>
    </row>
    <row r="3145" spans="7:9" x14ac:dyDescent="0.2">
      <c r="G3145" s="23"/>
      <c r="H3145" s="24"/>
      <c r="I3145" s="25"/>
    </row>
    <row r="3146" spans="7:9" x14ac:dyDescent="0.2">
      <c r="G3146" s="23"/>
      <c r="H3146" s="24"/>
      <c r="I3146" s="25"/>
    </row>
    <row r="3147" spans="7:9" x14ac:dyDescent="0.2">
      <c r="G3147" s="23"/>
      <c r="H3147" s="24"/>
      <c r="I3147" s="25"/>
    </row>
    <row r="3148" spans="7:9" x14ac:dyDescent="0.2">
      <c r="G3148" s="23"/>
      <c r="H3148" s="24"/>
      <c r="I3148" s="25"/>
    </row>
    <row r="3149" spans="7:9" x14ac:dyDescent="0.2">
      <c r="G3149" s="23"/>
      <c r="H3149" s="24"/>
      <c r="I3149" s="25"/>
    </row>
    <row r="3150" spans="7:9" x14ac:dyDescent="0.2">
      <c r="G3150" s="23"/>
      <c r="H3150" s="24"/>
      <c r="I3150" s="25"/>
    </row>
    <row r="3151" spans="7:9" x14ac:dyDescent="0.2">
      <c r="G3151" s="23"/>
      <c r="H3151" s="24"/>
      <c r="I3151" s="25"/>
    </row>
    <row r="3152" spans="7:9" x14ac:dyDescent="0.2">
      <c r="G3152" s="23"/>
      <c r="H3152" s="24"/>
      <c r="I3152" s="25"/>
    </row>
    <row r="3153" spans="7:9" x14ac:dyDescent="0.2">
      <c r="G3153" s="23"/>
      <c r="H3153" s="24"/>
      <c r="I3153" s="25"/>
    </row>
    <row r="3154" spans="7:9" x14ac:dyDescent="0.2">
      <c r="G3154" s="23"/>
      <c r="H3154" s="24"/>
      <c r="I3154" s="25"/>
    </row>
    <row r="3155" spans="7:9" x14ac:dyDescent="0.2">
      <c r="G3155" s="23"/>
      <c r="H3155" s="24"/>
      <c r="I3155" s="25"/>
    </row>
    <row r="3156" spans="7:9" x14ac:dyDescent="0.2">
      <c r="G3156" s="23"/>
      <c r="H3156" s="24"/>
      <c r="I3156" s="25"/>
    </row>
    <row r="3157" spans="7:9" x14ac:dyDescent="0.2">
      <c r="G3157" s="23"/>
      <c r="H3157" s="24"/>
      <c r="I3157" s="25"/>
    </row>
    <row r="3158" spans="7:9" x14ac:dyDescent="0.2">
      <c r="G3158" s="23"/>
      <c r="H3158" s="24"/>
      <c r="I3158" s="25"/>
    </row>
    <row r="3159" spans="7:9" x14ac:dyDescent="0.2">
      <c r="G3159" s="23"/>
      <c r="H3159" s="24"/>
      <c r="I3159" s="25"/>
    </row>
    <row r="3160" spans="7:9" x14ac:dyDescent="0.2">
      <c r="G3160" s="23"/>
      <c r="H3160" s="24"/>
      <c r="I3160" s="25"/>
    </row>
    <row r="3161" spans="7:9" x14ac:dyDescent="0.2">
      <c r="G3161" s="23"/>
      <c r="H3161" s="24"/>
      <c r="I3161" s="25"/>
    </row>
    <row r="3162" spans="7:9" x14ac:dyDescent="0.2">
      <c r="G3162" s="23"/>
      <c r="H3162" s="24"/>
      <c r="I3162" s="25"/>
    </row>
    <row r="3163" spans="7:9" x14ac:dyDescent="0.2">
      <c r="G3163" s="23"/>
      <c r="H3163" s="24"/>
      <c r="I3163" s="25"/>
    </row>
    <row r="3164" spans="7:9" x14ac:dyDescent="0.2">
      <c r="G3164" s="23"/>
      <c r="H3164" s="24"/>
      <c r="I3164" s="25"/>
    </row>
    <row r="3165" spans="7:9" x14ac:dyDescent="0.2">
      <c r="G3165" s="23"/>
      <c r="H3165" s="24"/>
      <c r="I3165" s="25"/>
    </row>
    <row r="3166" spans="7:9" x14ac:dyDescent="0.2">
      <c r="G3166" s="23"/>
      <c r="H3166" s="24"/>
      <c r="I3166" s="25"/>
    </row>
    <row r="3167" spans="7:9" x14ac:dyDescent="0.2">
      <c r="G3167" s="23"/>
      <c r="H3167" s="24"/>
      <c r="I3167" s="25"/>
    </row>
    <row r="3168" spans="7:9" x14ac:dyDescent="0.2">
      <c r="G3168" s="23"/>
      <c r="H3168" s="24"/>
      <c r="I3168" s="25"/>
    </row>
    <row r="3169" spans="7:9" x14ac:dyDescent="0.2">
      <c r="G3169" s="23"/>
      <c r="H3169" s="24"/>
      <c r="I3169" s="25"/>
    </row>
    <row r="3170" spans="7:9" x14ac:dyDescent="0.2">
      <c r="G3170" s="23"/>
      <c r="H3170" s="24"/>
      <c r="I3170" s="25"/>
    </row>
    <row r="3171" spans="7:9" x14ac:dyDescent="0.2">
      <c r="G3171" s="23"/>
      <c r="H3171" s="24"/>
      <c r="I3171" s="25"/>
    </row>
    <row r="3172" spans="7:9" x14ac:dyDescent="0.2">
      <c r="G3172" s="23"/>
      <c r="H3172" s="24"/>
      <c r="I3172" s="25"/>
    </row>
    <row r="3173" spans="7:9" x14ac:dyDescent="0.2">
      <c r="G3173" s="23"/>
      <c r="H3173" s="24"/>
      <c r="I3173" s="25"/>
    </row>
    <row r="3174" spans="7:9" x14ac:dyDescent="0.2">
      <c r="G3174" s="23"/>
      <c r="H3174" s="24"/>
      <c r="I3174" s="25"/>
    </row>
    <row r="3175" spans="7:9" x14ac:dyDescent="0.2">
      <c r="G3175" s="23"/>
      <c r="H3175" s="24"/>
      <c r="I3175" s="25"/>
    </row>
    <row r="3176" spans="7:9" x14ac:dyDescent="0.2">
      <c r="G3176" s="23"/>
      <c r="H3176" s="24"/>
      <c r="I3176" s="25"/>
    </row>
    <row r="3177" spans="7:9" x14ac:dyDescent="0.2">
      <c r="G3177" s="23"/>
      <c r="H3177" s="24"/>
      <c r="I3177" s="25"/>
    </row>
    <row r="3178" spans="7:9" x14ac:dyDescent="0.2">
      <c r="G3178" s="23"/>
      <c r="H3178" s="24"/>
      <c r="I3178" s="25"/>
    </row>
    <row r="3179" spans="7:9" x14ac:dyDescent="0.2">
      <c r="G3179" s="23"/>
      <c r="H3179" s="24"/>
      <c r="I3179" s="25"/>
    </row>
    <row r="3180" spans="7:9" x14ac:dyDescent="0.2">
      <c r="G3180" s="23"/>
      <c r="H3180" s="24"/>
      <c r="I3180" s="25"/>
    </row>
    <row r="3181" spans="7:9" x14ac:dyDescent="0.2">
      <c r="G3181" s="23"/>
      <c r="H3181" s="24"/>
      <c r="I3181" s="25"/>
    </row>
    <row r="3182" spans="7:9" x14ac:dyDescent="0.2">
      <c r="G3182" s="23"/>
      <c r="H3182" s="24"/>
      <c r="I3182" s="25"/>
    </row>
    <row r="3183" spans="7:9" x14ac:dyDescent="0.2">
      <c r="G3183" s="23"/>
      <c r="H3183" s="24"/>
      <c r="I3183" s="25"/>
    </row>
    <row r="3184" spans="7:9" x14ac:dyDescent="0.2">
      <c r="G3184" s="23"/>
      <c r="H3184" s="24"/>
      <c r="I3184" s="25"/>
    </row>
    <row r="3185" spans="7:9" x14ac:dyDescent="0.2">
      <c r="G3185" s="23"/>
      <c r="H3185" s="24"/>
      <c r="I3185" s="25"/>
    </row>
    <row r="3186" spans="7:9" x14ac:dyDescent="0.2">
      <c r="G3186" s="23"/>
      <c r="H3186" s="24"/>
      <c r="I3186" s="25"/>
    </row>
    <row r="3187" spans="7:9" x14ac:dyDescent="0.2">
      <c r="G3187" s="23"/>
      <c r="H3187" s="24"/>
      <c r="I3187" s="25"/>
    </row>
    <row r="3188" spans="7:9" x14ac:dyDescent="0.2">
      <c r="G3188" s="23"/>
      <c r="H3188" s="24"/>
      <c r="I3188" s="25"/>
    </row>
    <row r="3189" spans="7:9" x14ac:dyDescent="0.2">
      <c r="G3189" s="23"/>
      <c r="H3189" s="24"/>
      <c r="I3189" s="25"/>
    </row>
    <row r="3190" spans="7:9" x14ac:dyDescent="0.2">
      <c r="G3190" s="23"/>
      <c r="H3190" s="24"/>
      <c r="I3190" s="25"/>
    </row>
    <row r="3191" spans="7:9" x14ac:dyDescent="0.2">
      <c r="G3191" s="23"/>
      <c r="H3191" s="24"/>
      <c r="I3191" s="25"/>
    </row>
    <row r="3192" spans="7:9" x14ac:dyDescent="0.2">
      <c r="G3192" s="23"/>
      <c r="H3192" s="24"/>
      <c r="I3192" s="25"/>
    </row>
    <row r="3193" spans="7:9" x14ac:dyDescent="0.2">
      <c r="G3193" s="23"/>
      <c r="H3193" s="24"/>
      <c r="I3193" s="25"/>
    </row>
    <row r="3194" spans="7:9" x14ac:dyDescent="0.2">
      <c r="G3194" s="23"/>
      <c r="H3194" s="24"/>
      <c r="I3194" s="25"/>
    </row>
    <row r="3195" spans="7:9" x14ac:dyDescent="0.2">
      <c r="G3195" s="23"/>
      <c r="H3195" s="24"/>
      <c r="I3195" s="25"/>
    </row>
    <row r="3196" spans="7:9" x14ac:dyDescent="0.2">
      <c r="G3196" s="23"/>
      <c r="H3196" s="24"/>
      <c r="I3196" s="25"/>
    </row>
    <row r="3197" spans="7:9" x14ac:dyDescent="0.2">
      <c r="G3197" s="23"/>
      <c r="H3197" s="24"/>
      <c r="I3197" s="25"/>
    </row>
    <row r="3198" spans="7:9" x14ac:dyDescent="0.2">
      <c r="G3198" s="23"/>
      <c r="H3198" s="24"/>
      <c r="I3198" s="25"/>
    </row>
    <row r="3199" spans="7:9" x14ac:dyDescent="0.2">
      <c r="G3199" s="23"/>
      <c r="H3199" s="24"/>
      <c r="I3199" s="25"/>
    </row>
    <row r="3200" spans="7:9" x14ac:dyDescent="0.2">
      <c r="G3200" s="23"/>
      <c r="H3200" s="24"/>
      <c r="I3200" s="25"/>
    </row>
    <row r="3201" spans="7:9" x14ac:dyDescent="0.2">
      <c r="G3201" s="23"/>
      <c r="H3201" s="24"/>
      <c r="I3201" s="25"/>
    </row>
    <row r="3202" spans="7:9" x14ac:dyDescent="0.2">
      <c r="G3202" s="23"/>
      <c r="H3202" s="24"/>
      <c r="I3202" s="25"/>
    </row>
    <row r="3203" spans="7:9" x14ac:dyDescent="0.2">
      <c r="G3203" s="23"/>
      <c r="H3203" s="24"/>
      <c r="I3203" s="25"/>
    </row>
    <row r="3204" spans="7:9" x14ac:dyDescent="0.2">
      <c r="G3204" s="23"/>
      <c r="H3204" s="24"/>
      <c r="I3204" s="25"/>
    </row>
    <row r="3205" spans="7:9" x14ac:dyDescent="0.2">
      <c r="G3205" s="23"/>
      <c r="H3205" s="24"/>
      <c r="I3205" s="25"/>
    </row>
    <row r="3206" spans="7:9" x14ac:dyDescent="0.2">
      <c r="G3206" s="23"/>
      <c r="H3206" s="24"/>
      <c r="I3206" s="25"/>
    </row>
    <row r="3207" spans="7:9" x14ac:dyDescent="0.2">
      <c r="G3207" s="23"/>
      <c r="H3207" s="24"/>
      <c r="I3207" s="25"/>
    </row>
    <row r="3208" spans="7:9" x14ac:dyDescent="0.2">
      <c r="G3208" s="23"/>
      <c r="H3208" s="24"/>
      <c r="I3208" s="25"/>
    </row>
    <row r="3209" spans="7:9" x14ac:dyDescent="0.2">
      <c r="G3209" s="23"/>
      <c r="H3209" s="24"/>
      <c r="I3209" s="25"/>
    </row>
    <row r="3210" spans="7:9" x14ac:dyDescent="0.2">
      <c r="G3210" s="23"/>
      <c r="H3210" s="24"/>
      <c r="I3210" s="25"/>
    </row>
    <row r="3211" spans="7:9" x14ac:dyDescent="0.2">
      <c r="G3211" s="23"/>
      <c r="H3211" s="24"/>
      <c r="I3211" s="25"/>
    </row>
    <row r="3212" spans="7:9" x14ac:dyDescent="0.2">
      <c r="G3212" s="23"/>
      <c r="H3212" s="24"/>
      <c r="I3212" s="25"/>
    </row>
    <row r="3213" spans="7:9" x14ac:dyDescent="0.2">
      <c r="G3213" s="23"/>
      <c r="H3213" s="24"/>
      <c r="I3213" s="25"/>
    </row>
    <row r="3214" spans="7:9" x14ac:dyDescent="0.2">
      <c r="G3214" s="23"/>
      <c r="H3214" s="24"/>
      <c r="I3214" s="25"/>
    </row>
    <row r="3215" spans="7:9" x14ac:dyDescent="0.2">
      <c r="G3215" s="23"/>
      <c r="H3215" s="24"/>
      <c r="I3215" s="25"/>
    </row>
    <row r="3216" spans="7:9" x14ac:dyDescent="0.2">
      <c r="G3216" s="23"/>
      <c r="H3216" s="24"/>
      <c r="I3216" s="25"/>
    </row>
    <row r="3217" spans="7:9" x14ac:dyDescent="0.2">
      <c r="G3217" s="23"/>
      <c r="H3217" s="24"/>
      <c r="I3217" s="25"/>
    </row>
    <row r="3218" spans="7:9" x14ac:dyDescent="0.2">
      <c r="G3218" s="23"/>
      <c r="H3218" s="24"/>
      <c r="I3218" s="25"/>
    </row>
    <row r="3219" spans="7:9" x14ac:dyDescent="0.2">
      <c r="G3219" s="23"/>
      <c r="H3219" s="24"/>
      <c r="I3219" s="25"/>
    </row>
    <row r="3220" spans="7:9" x14ac:dyDescent="0.2">
      <c r="G3220" s="23"/>
      <c r="H3220" s="24"/>
      <c r="I3220" s="25"/>
    </row>
    <row r="3221" spans="7:9" x14ac:dyDescent="0.2">
      <c r="G3221" s="23"/>
      <c r="H3221" s="24"/>
      <c r="I3221" s="25"/>
    </row>
    <row r="3222" spans="7:9" x14ac:dyDescent="0.2">
      <c r="G3222" s="23"/>
      <c r="H3222" s="24"/>
      <c r="I3222" s="25"/>
    </row>
    <row r="3223" spans="7:9" x14ac:dyDescent="0.2">
      <c r="G3223" s="23"/>
      <c r="H3223" s="24"/>
      <c r="I3223" s="25"/>
    </row>
    <row r="3224" spans="7:9" x14ac:dyDescent="0.2">
      <c r="G3224" s="23"/>
      <c r="H3224" s="24"/>
      <c r="I3224" s="25"/>
    </row>
    <row r="3225" spans="7:9" x14ac:dyDescent="0.2">
      <c r="G3225" s="23"/>
      <c r="H3225" s="24"/>
      <c r="I3225" s="25"/>
    </row>
    <row r="3226" spans="7:9" x14ac:dyDescent="0.2">
      <c r="G3226" s="23"/>
      <c r="H3226" s="24"/>
      <c r="I3226" s="25"/>
    </row>
    <row r="3227" spans="7:9" x14ac:dyDescent="0.2">
      <c r="G3227" s="23"/>
      <c r="H3227" s="24"/>
      <c r="I3227" s="25"/>
    </row>
    <row r="3228" spans="7:9" x14ac:dyDescent="0.2">
      <c r="G3228" s="23"/>
      <c r="H3228" s="24"/>
      <c r="I3228" s="25"/>
    </row>
    <row r="3229" spans="7:9" x14ac:dyDescent="0.2">
      <c r="G3229" s="23"/>
      <c r="H3229" s="24"/>
      <c r="I3229" s="25"/>
    </row>
    <row r="3230" spans="7:9" x14ac:dyDescent="0.2">
      <c r="G3230" s="23"/>
      <c r="H3230" s="24"/>
      <c r="I3230" s="25"/>
    </row>
    <row r="3231" spans="7:9" x14ac:dyDescent="0.2">
      <c r="G3231" s="23"/>
      <c r="H3231" s="24"/>
      <c r="I3231" s="25"/>
    </row>
    <row r="3232" spans="7:9" x14ac:dyDescent="0.2">
      <c r="G3232" s="23"/>
      <c r="H3232" s="24"/>
      <c r="I3232" s="25"/>
    </row>
    <row r="3233" spans="7:9" x14ac:dyDescent="0.2">
      <c r="G3233" s="23"/>
      <c r="H3233" s="24"/>
      <c r="I3233" s="25"/>
    </row>
    <row r="3234" spans="7:9" x14ac:dyDescent="0.2">
      <c r="G3234" s="23"/>
      <c r="H3234" s="24"/>
      <c r="I3234" s="25"/>
    </row>
    <row r="3235" spans="7:9" x14ac:dyDescent="0.2">
      <c r="G3235" s="23"/>
      <c r="H3235" s="24"/>
      <c r="I3235" s="25"/>
    </row>
    <row r="3236" spans="7:9" x14ac:dyDescent="0.2">
      <c r="G3236" s="23"/>
      <c r="H3236" s="24"/>
      <c r="I3236" s="25"/>
    </row>
    <row r="3237" spans="7:9" x14ac:dyDescent="0.2">
      <c r="G3237" s="23"/>
      <c r="H3237" s="24"/>
      <c r="I3237" s="25"/>
    </row>
    <row r="3238" spans="7:9" x14ac:dyDescent="0.2">
      <c r="G3238" s="23"/>
      <c r="H3238" s="24"/>
      <c r="I3238" s="25"/>
    </row>
    <row r="3239" spans="7:9" x14ac:dyDescent="0.2">
      <c r="G3239" s="23"/>
      <c r="H3239" s="24"/>
      <c r="I3239" s="25"/>
    </row>
    <row r="3240" spans="7:9" x14ac:dyDescent="0.2">
      <c r="G3240" s="23"/>
      <c r="H3240" s="24"/>
      <c r="I3240" s="25"/>
    </row>
    <row r="3241" spans="7:9" x14ac:dyDescent="0.2">
      <c r="G3241" s="23"/>
      <c r="H3241" s="24"/>
      <c r="I3241" s="25"/>
    </row>
    <row r="3242" spans="7:9" x14ac:dyDescent="0.2">
      <c r="G3242" s="23"/>
      <c r="H3242" s="24"/>
      <c r="I3242" s="25"/>
    </row>
    <row r="3243" spans="7:9" x14ac:dyDescent="0.2">
      <c r="G3243" s="23"/>
      <c r="H3243" s="24"/>
      <c r="I3243" s="25"/>
    </row>
    <row r="3244" spans="7:9" x14ac:dyDescent="0.2">
      <c r="G3244" s="23"/>
      <c r="H3244" s="24"/>
      <c r="I3244" s="25"/>
    </row>
    <row r="3245" spans="7:9" x14ac:dyDescent="0.2">
      <c r="G3245" s="23"/>
      <c r="H3245" s="24"/>
      <c r="I3245" s="25"/>
    </row>
    <row r="3246" spans="7:9" x14ac:dyDescent="0.2">
      <c r="G3246" s="23"/>
      <c r="H3246" s="24"/>
      <c r="I3246" s="25"/>
    </row>
    <row r="3247" spans="7:9" x14ac:dyDescent="0.2">
      <c r="G3247" s="23"/>
      <c r="H3247" s="24"/>
      <c r="I3247" s="25"/>
    </row>
    <row r="3248" spans="7:9" x14ac:dyDescent="0.2">
      <c r="G3248" s="23"/>
      <c r="H3248" s="24"/>
      <c r="I3248" s="25"/>
    </row>
    <row r="3249" spans="7:9" x14ac:dyDescent="0.2">
      <c r="G3249" s="23"/>
      <c r="H3249" s="24"/>
      <c r="I3249" s="25"/>
    </row>
    <row r="3250" spans="7:9" x14ac:dyDescent="0.2">
      <c r="G3250" s="23"/>
      <c r="H3250" s="24"/>
      <c r="I3250" s="25"/>
    </row>
    <row r="3251" spans="7:9" x14ac:dyDescent="0.2">
      <c r="G3251" s="23"/>
      <c r="H3251" s="24"/>
      <c r="I3251" s="25"/>
    </row>
    <row r="3252" spans="7:9" x14ac:dyDescent="0.2">
      <c r="G3252" s="23"/>
      <c r="H3252" s="24"/>
      <c r="I3252" s="25"/>
    </row>
    <row r="3253" spans="7:9" x14ac:dyDescent="0.2">
      <c r="G3253" s="23"/>
      <c r="H3253" s="24"/>
      <c r="I3253" s="25"/>
    </row>
    <row r="3254" spans="7:9" x14ac:dyDescent="0.2">
      <c r="G3254" s="23"/>
      <c r="H3254" s="24"/>
      <c r="I3254" s="25"/>
    </row>
    <row r="3255" spans="7:9" x14ac:dyDescent="0.2">
      <c r="G3255" s="23"/>
      <c r="H3255" s="24"/>
      <c r="I3255" s="25"/>
    </row>
    <row r="3256" spans="7:9" x14ac:dyDescent="0.2">
      <c r="G3256" s="23"/>
      <c r="H3256" s="24"/>
      <c r="I3256" s="25"/>
    </row>
    <row r="3257" spans="7:9" x14ac:dyDescent="0.2">
      <c r="G3257" s="23"/>
      <c r="H3257" s="24"/>
      <c r="I3257" s="25"/>
    </row>
    <row r="3258" spans="7:9" x14ac:dyDescent="0.2">
      <c r="G3258" s="23"/>
      <c r="H3258" s="24"/>
      <c r="I3258" s="25"/>
    </row>
    <row r="3259" spans="7:9" x14ac:dyDescent="0.2">
      <c r="G3259" s="23"/>
      <c r="H3259" s="24"/>
      <c r="I3259" s="25"/>
    </row>
    <row r="3260" spans="7:9" x14ac:dyDescent="0.2">
      <c r="G3260" s="23"/>
      <c r="H3260" s="24"/>
      <c r="I3260" s="25"/>
    </row>
    <row r="3261" spans="7:9" x14ac:dyDescent="0.2">
      <c r="G3261" s="23"/>
      <c r="H3261" s="24"/>
      <c r="I3261" s="25"/>
    </row>
    <row r="3262" spans="7:9" x14ac:dyDescent="0.2">
      <c r="G3262" s="23"/>
      <c r="H3262" s="24"/>
      <c r="I3262" s="25"/>
    </row>
    <row r="3263" spans="7:9" x14ac:dyDescent="0.2">
      <c r="G3263" s="23"/>
      <c r="H3263" s="24"/>
      <c r="I3263" s="25"/>
    </row>
    <row r="3264" spans="7:9" x14ac:dyDescent="0.2">
      <c r="G3264" s="23"/>
      <c r="H3264" s="24"/>
      <c r="I3264" s="25"/>
    </row>
    <row r="3265" spans="7:9" x14ac:dyDescent="0.2">
      <c r="G3265" s="23"/>
      <c r="H3265" s="24"/>
      <c r="I3265" s="25"/>
    </row>
    <row r="3266" spans="7:9" x14ac:dyDescent="0.2">
      <c r="G3266" s="23"/>
      <c r="H3266" s="24"/>
      <c r="I3266" s="25"/>
    </row>
    <row r="3267" spans="7:9" x14ac:dyDescent="0.2">
      <c r="G3267" s="23"/>
      <c r="H3267" s="24"/>
      <c r="I3267" s="25"/>
    </row>
    <row r="3268" spans="7:9" x14ac:dyDescent="0.2">
      <c r="G3268" s="23"/>
      <c r="H3268" s="24"/>
      <c r="I3268" s="25"/>
    </row>
    <row r="3269" spans="7:9" x14ac:dyDescent="0.2">
      <c r="G3269" s="23"/>
      <c r="H3269" s="24"/>
      <c r="I3269" s="25"/>
    </row>
    <row r="3270" spans="7:9" x14ac:dyDescent="0.2">
      <c r="G3270" s="23"/>
      <c r="H3270" s="24"/>
      <c r="I3270" s="25"/>
    </row>
    <row r="3271" spans="7:9" x14ac:dyDescent="0.2">
      <c r="G3271" s="23"/>
      <c r="H3271" s="24"/>
      <c r="I3271" s="25"/>
    </row>
    <row r="3272" spans="7:9" x14ac:dyDescent="0.2">
      <c r="G3272" s="23"/>
      <c r="H3272" s="24"/>
      <c r="I3272" s="25"/>
    </row>
    <row r="3273" spans="7:9" x14ac:dyDescent="0.2">
      <c r="G3273" s="23"/>
      <c r="H3273" s="24"/>
      <c r="I3273" s="25"/>
    </row>
    <row r="3274" spans="7:9" x14ac:dyDescent="0.2">
      <c r="G3274" s="23"/>
      <c r="H3274" s="24"/>
      <c r="I3274" s="25"/>
    </row>
    <row r="3275" spans="7:9" x14ac:dyDescent="0.2">
      <c r="G3275" s="23"/>
      <c r="H3275" s="24"/>
      <c r="I3275" s="25"/>
    </row>
    <row r="3276" spans="7:9" x14ac:dyDescent="0.2">
      <c r="G3276" s="23"/>
      <c r="H3276" s="24"/>
      <c r="I3276" s="25"/>
    </row>
    <row r="3277" spans="7:9" x14ac:dyDescent="0.2">
      <c r="G3277" s="23"/>
      <c r="H3277" s="24"/>
      <c r="I3277" s="25"/>
    </row>
    <row r="3278" spans="7:9" x14ac:dyDescent="0.2">
      <c r="G3278" s="23"/>
      <c r="H3278" s="24"/>
      <c r="I3278" s="25"/>
    </row>
    <row r="3279" spans="7:9" x14ac:dyDescent="0.2">
      <c r="G3279" s="23"/>
      <c r="H3279" s="24"/>
      <c r="I3279" s="25"/>
    </row>
    <row r="3280" spans="7:9" x14ac:dyDescent="0.2">
      <c r="G3280" s="23"/>
      <c r="H3280" s="24"/>
      <c r="I3280" s="25"/>
    </row>
    <row r="3281" spans="7:9" x14ac:dyDescent="0.2">
      <c r="G3281" s="23"/>
      <c r="H3281" s="24"/>
      <c r="I3281" s="25"/>
    </row>
    <row r="3282" spans="7:9" x14ac:dyDescent="0.2">
      <c r="G3282" s="23"/>
      <c r="H3282" s="24"/>
      <c r="I3282" s="25"/>
    </row>
    <row r="3283" spans="7:9" x14ac:dyDescent="0.2">
      <c r="G3283" s="23"/>
      <c r="H3283" s="24"/>
      <c r="I3283" s="25"/>
    </row>
    <row r="3284" spans="7:9" x14ac:dyDescent="0.2">
      <c r="G3284" s="23"/>
      <c r="H3284" s="24"/>
      <c r="I3284" s="25"/>
    </row>
    <row r="3285" spans="7:9" x14ac:dyDescent="0.2">
      <c r="G3285" s="23"/>
      <c r="H3285" s="24"/>
      <c r="I3285" s="25"/>
    </row>
    <row r="3286" spans="7:9" x14ac:dyDescent="0.2">
      <c r="G3286" s="23"/>
      <c r="H3286" s="24"/>
      <c r="I3286" s="25"/>
    </row>
    <row r="3287" spans="7:9" x14ac:dyDescent="0.2">
      <c r="G3287" s="23"/>
      <c r="H3287" s="24"/>
      <c r="I3287" s="25"/>
    </row>
    <row r="3288" spans="7:9" x14ac:dyDescent="0.2">
      <c r="G3288" s="23"/>
      <c r="H3288" s="24"/>
      <c r="I3288" s="25"/>
    </row>
    <row r="3289" spans="7:9" x14ac:dyDescent="0.2">
      <c r="G3289" s="23"/>
      <c r="H3289" s="24"/>
      <c r="I3289" s="25"/>
    </row>
    <row r="3290" spans="7:9" x14ac:dyDescent="0.2">
      <c r="G3290" s="23"/>
      <c r="H3290" s="24"/>
      <c r="I3290" s="25"/>
    </row>
    <row r="3291" spans="7:9" x14ac:dyDescent="0.2">
      <c r="G3291" s="23"/>
      <c r="H3291" s="24"/>
      <c r="I3291" s="25"/>
    </row>
    <row r="3292" spans="7:9" x14ac:dyDescent="0.2">
      <c r="G3292" s="23"/>
      <c r="H3292" s="24"/>
      <c r="I3292" s="25"/>
    </row>
    <row r="3293" spans="7:9" x14ac:dyDescent="0.2">
      <c r="G3293" s="23"/>
      <c r="H3293" s="24"/>
      <c r="I3293" s="25"/>
    </row>
    <row r="3294" spans="7:9" x14ac:dyDescent="0.2">
      <c r="G3294" s="23"/>
      <c r="H3294" s="24"/>
      <c r="I3294" s="25"/>
    </row>
    <row r="3295" spans="7:9" x14ac:dyDescent="0.2">
      <c r="G3295" s="23"/>
      <c r="H3295" s="24"/>
      <c r="I3295" s="25"/>
    </row>
    <row r="3296" spans="7:9" x14ac:dyDescent="0.2">
      <c r="G3296" s="23"/>
      <c r="H3296" s="24"/>
      <c r="I3296" s="25"/>
    </row>
    <row r="3297" spans="7:9" x14ac:dyDescent="0.2">
      <c r="G3297" s="23"/>
      <c r="H3297" s="24"/>
      <c r="I3297" s="25"/>
    </row>
    <row r="3298" spans="7:9" x14ac:dyDescent="0.2">
      <c r="G3298" s="23"/>
      <c r="H3298" s="24"/>
      <c r="I3298" s="25"/>
    </row>
    <row r="3299" spans="7:9" x14ac:dyDescent="0.2">
      <c r="G3299" s="23"/>
      <c r="H3299" s="24"/>
      <c r="I3299" s="25"/>
    </row>
    <row r="3300" spans="7:9" x14ac:dyDescent="0.2">
      <c r="G3300" s="23"/>
      <c r="H3300" s="24"/>
      <c r="I3300" s="25"/>
    </row>
    <row r="3301" spans="7:9" x14ac:dyDescent="0.2">
      <c r="G3301" s="23"/>
      <c r="H3301" s="24"/>
      <c r="I3301" s="25"/>
    </row>
    <row r="3302" spans="7:9" x14ac:dyDescent="0.2">
      <c r="G3302" s="23"/>
      <c r="H3302" s="24"/>
      <c r="I3302" s="25"/>
    </row>
    <row r="3303" spans="7:9" x14ac:dyDescent="0.2">
      <c r="G3303" s="23"/>
      <c r="H3303" s="24"/>
      <c r="I3303" s="25"/>
    </row>
    <row r="3304" spans="7:9" x14ac:dyDescent="0.2">
      <c r="G3304" s="23"/>
      <c r="H3304" s="24"/>
      <c r="I3304" s="25"/>
    </row>
    <row r="3305" spans="7:9" x14ac:dyDescent="0.2">
      <c r="G3305" s="23"/>
      <c r="H3305" s="24"/>
      <c r="I3305" s="25"/>
    </row>
    <row r="3306" spans="7:9" x14ac:dyDescent="0.2">
      <c r="G3306" s="23"/>
      <c r="H3306" s="24"/>
      <c r="I3306" s="25"/>
    </row>
    <row r="3307" spans="7:9" x14ac:dyDescent="0.2">
      <c r="G3307" s="23"/>
      <c r="H3307" s="24"/>
      <c r="I3307" s="25"/>
    </row>
    <row r="3308" spans="7:9" x14ac:dyDescent="0.2">
      <c r="G3308" s="23"/>
      <c r="H3308" s="24"/>
      <c r="I3308" s="25"/>
    </row>
    <row r="3309" spans="7:9" x14ac:dyDescent="0.2">
      <c r="G3309" s="23"/>
      <c r="H3309" s="24"/>
      <c r="I3309" s="25"/>
    </row>
    <row r="3310" spans="7:9" x14ac:dyDescent="0.2">
      <c r="G3310" s="23"/>
      <c r="H3310" s="24"/>
      <c r="I3310" s="25"/>
    </row>
    <row r="3311" spans="7:9" x14ac:dyDescent="0.2">
      <c r="G3311" s="23"/>
      <c r="H3311" s="24"/>
      <c r="I3311" s="25"/>
    </row>
    <row r="3312" spans="7:9" x14ac:dyDescent="0.2">
      <c r="G3312" s="23"/>
      <c r="H3312" s="24"/>
      <c r="I3312" s="25"/>
    </row>
    <row r="3313" spans="7:9" x14ac:dyDescent="0.2">
      <c r="G3313" s="23"/>
      <c r="H3313" s="24"/>
      <c r="I3313" s="25"/>
    </row>
    <row r="3314" spans="7:9" x14ac:dyDescent="0.2">
      <c r="G3314" s="23"/>
      <c r="H3314" s="24"/>
      <c r="I3314" s="25"/>
    </row>
    <row r="3315" spans="7:9" x14ac:dyDescent="0.2">
      <c r="G3315" s="23"/>
      <c r="H3315" s="24"/>
      <c r="I3315" s="25"/>
    </row>
    <row r="3316" spans="7:9" x14ac:dyDescent="0.2">
      <c r="G3316" s="23"/>
      <c r="H3316" s="24"/>
      <c r="I3316" s="25"/>
    </row>
    <row r="3317" spans="7:9" x14ac:dyDescent="0.2">
      <c r="G3317" s="23"/>
      <c r="H3317" s="24"/>
      <c r="I3317" s="25"/>
    </row>
    <row r="3318" spans="7:9" x14ac:dyDescent="0.2">
      <c r="G3318" s="23"/>
      <c r="H3318" s="24"/>
      <c r="I3318" s="25"/>
    </row>
    <row r="3319" spans="7:9" x14ac:dyDescent="0.2">
      <c r="G3319" s="23"/>
      <c r="H3319" s="24"/>
      <c r="I3319" s="25"/>
    </row>
    <row r="3320" spans="7:9" x14ac:dyDescent="0.2">
      <c r="G3320" s="23"/>
      <c r="H3320" s="24"/>
      <c r="I3320" s="25"/>
    </row>
    <row r="3321" spans="7:9" x14ac:dyDescent="0.2">
      <c r="G3321" s="23"/>
      <c r="H3321" s="24"/>
      <c r="I3321" s="25"/>
    </row>
    <row r="3322" spans="7:9" x14ac:dyDescent="0.2">
      <c r="G3322" s="23"/>
      <c r="H3322" s="24"/>
      <c r="I3322" s="25"/>
    </row>
    <row r="3323" spans="7:9" x14ac:dyDescent="0.2">
      <c r="G3323" s="23"/>
      <c r="H3323" s="24"/>
      <c r="I3323" s="25"/>
    </row>
    <row r="3324" spans="7:9" x14ac:dyDescent="0.2">
      <c r="G3324" s="23"/>
      <c r="H3324" s="24"/>
      <c r="I3324" s="25"/>
    </row>
    <row r="3325" spans="7:9" x14ac:dyDescent="0.2">
      <c r="G3325" s="23"/>
      <c r="H3325" s="24"/>
      <c r="I3325" s="25"/>
    </row>
    <row r="3326" spans="7:9" x14ac:dyDescent="0.2">
      <c r="G3326" s="23"/>
      <c r="H3326" s="24"/>
      <c r="I3326" s="25"/>
    </row>
    <row r="3327" spans="7:9" x14ac:dyDescent="0.2">
      <c r="G3327" s="23"/>
      <c r="H3327" s="24"/>
      <c r="I3327" s="25"/>
    </row>
    <row r="3328" spans="7:9" x14ac:dyDescent="0.2">
      <c r="G3328" s="23"/>
      <c r="H3328" s="24"/>
      <c r="I3328" s="25"/>
    </row>
    <row r="3329" spans="7:9" x14ac:dyDescent="0.2">
      <c r="G3329" s="23"/>
      <c r="H3329" s="24"/>
      <c r="I3329" s="25"/>
    </row>
    <row r="3330" spans="7:9" x14ac:dyDescent="0.2">
      <c r="G3330" s="23"/>
      <c r="H3330" s="24"/>
      <c r="I3330" s="25"/>
    </row>
    <row r="3331" spans="7:9" x14ac:dyDescent="0.2">
      <c r="G3331" s="23"/>
      <c r="H3331" s="24"/>
      <c r="I3331" s="25"/>
    </row>
    <row r="3332" spans="7:9" x14ac:dyDescent="0.2">
      <c r="G3332" s="23"/>
      <c r="H3332" s="24"/>
      <c r="I3332" s="25"/>
    </row>
    <row r="3333" spans="7:9" x14ac:dyDescent="0.2">
      <c r="G3333" s="23"/>
      <c r="H3333" s="24"/>
      <c r="I3333" s="25"/>
    </row>
    <row r="3334" spans="7:9" x14ac:dyDescent="0.2">
      <c r="G3334" s="23"/>
      <c r="H3334" s="24"/>
      <c r="I3334" s="25"/>
    </row>
    <row r="3335" spans="7:9" x14ac:dyDescent="0.2">
      <c r="G3335" s="23"/>
      <c r="H3335" s="24"/>
      <c r="I3335" s="25"/>
    </row>
    <row r="3336" spans="7:9" x14ac:dyDescent="0.2">
      <c r="G3336" s="23"/>
      <c r="H3336" s="24"/>
      <c r="I3336" s="25"/>
    </row>
    <row r="3337" spans="7:9" x14ac:dyDescent="0.2">
      <c r="G3337" s="23"/>
      <c r="H3337" s="24"/>
      <c r="I3337" s="25"/>
    </row>
    <row r="3338" spans="7:9" x14ac:dyDescent="0.2">
      <c r="G3338" s="23"/>
      <c r="H3338" s="24"/>
      <c r="I3338" s="25"/>
    </row>
    <row r="3339" spans="7:9" x14ac:dyDescent="0.2">
      <c r="G3339" s="23"/>
      <c r="H3339" s="24"/>
      <c r="I3339" s="25"/>
    </row>
    <row r="3340" spans="7:9" x14ac:dyDescent="0.2">
      <c r="G3340" s="23"/>
      <c r="H3340" s="24"/>
      <c r="I3340" s="25"/>
    </row>
    <row r="3341" spans="7:9" x14ac:dyDescent="0.2">
      <c r="G3341" s="23"/>
      <c r="H3341" s="24"/>
      <c r="I3341" s="25"/>
    </row>
    <row r="3342" spans="7:9" x14ac:dyDescent="0.2">
      <c r="G3342" s="23"/>
      <c r="H3342" s="24"/>
      <c r="I3342" s="25"/>
    </row>
    <row r="3343" spans="7:9" x14ac:dyDescent="0.2">
      <c r="G3343" s="23"/>
      <c r="H3343" s="24"/>
      <c r="I3343" s="25"/>
    </row>
    <row r="3344" spans="7:9" x14ac:dyDescent="0.2">
      <c r="G3344" s="23"/>
      <c r="H3344" s="24"/>
      <c r="I3344" s="25"/>
    </row>
    <row r="3345" spans="7:9" x14ac:dyDescent="0.2">
      <c r="G3345" s="23"/>
      <c r="H3345" s="24"/>
      <c r="I3345" s="25"/>
    </row>
    <row r="3346" spans="7:9" x14ac:dyDescent="0.2">
      <c r="G3346" s="23"/>
      <c r="H3346" s="24"/>
      <c r="I3346" s="25"/>
    </row>
    <row r="3347" spans="7:9" x14ac:dyDescent="0.2">
      <c r="G3347" s="23"/>
      <c r="H3347" s="24"/>
      <c r="I3347" s="25"/>
    </row>
    <row r="3348" spans="7:9" x14ac:dyDescent="0.2">
      <c r="G3348" s="23"/>
      <c r="H3348" s="24"/>
      <c r="I3348" s="25"/>
    </row>
    <row r="3349" spans="7:9" x14ac:dyDescent="0.2">
      <c r="G3349" s="23"/>
      <c r="H3349" s="24"/>
      <c r="I3349" s="25"/>
    </row>
    <row r="3350" spans="7:9" x14ac:dyDescent="0.2">
      <c r="G3350" s="23"/>
      <c r="H3350" s="24"/>
      <c r="I3350" s="25"/>
    </row>
    <row r="3351" spans="7:9" x14ac:dyDescent="0.2">
      <c r="G3351" s="23"/>
      <c r="H3351" s="24"/>
      <c r="I3351" s="25"/>
    </row>
    <row r="3352" spans="7:9" x14ac:dyDescent="0.2">
      <c r="G3352" s="23"/>
      <c r="H3352" s="24"/>
      <c r="I3352" s="25"/>
    </row>
    <row r="3353" spans="7:9" x14ac:dyDescent="0.2">
      <c r="G3353" s="23"/>
      <c r="H3353" s="24"/>
      <c r="I3353" s="25"/>
    </row>
    <row r="3354" spans="7:9" x14ac:dyDescent="0.2">
      <c r="G3354" s="23"/>
      <c r="H3354" s="24"/>
      <c r="I3354" s="25"/>
    </row>
    <row r="3355" spans="7:9" x14ac:dyDescent="0.2">
      <c r="G3355" s="23"/>
      <c r="H3355" s="24"/>
      <c r="I3355" s="25"/>
    </row>
    <row r="3356" spans="7:9" x14ac:dyDescent="0.2">
      <c r="G3356" s="23"/>
      <c r="H3356" s="24"/>
      <c r="I3356" s="25"/>
    </row>
    <row r="3357" spans="7:9" x14ac:dyDescent="0.2">
      <c r="G3357" s="23"/>
      <c r="H3357" s="24"/>
      <c r="I3357" s="25"/>
    </row>
    <row r="3358" spans="7:9" x14ac:dyDescent="0.2">
      <c r="G3358" s="23"/>
      <c r="H3358" s="24"/>
      <c r="I3358" s="25"/>
    </row>
    <row r="3359" spans="7:9" x14ac:dyDescent="0.2">
      <c r="G3359" s="23"/>
      <c r="H3359" s="24"/>
      <c r="I3359" s="25"/>
    </row>
    <row r="3360" spans="7:9" x14ac:dyDescent="0.2">
      <c r="G3360" s="23"/>
      <c r="H3360" s="24"/>
      <c r="I3360" s="25"/>
    </row>
    <row r="3361" spans="7:9" x14ac:dyDescent="0.2">
      <c r="G3361" s="23"/>
      <c r="H3361" s="24"/>
      <c r="I3361" s="25"/>
    </row>
    <row r="3362" spans="7:9" x14ac:dyDescent="0.2">
      <c r="G3362" s="23"/>
      <c r="H3362" s="24"/>
      <c r="I3362" s="25"/>
    </row>
    <row r="3363" spans="7:9" x14ac:dyDescent="0.2">
      <c r="G3363" s="23"/>
      <c r="H3363" s="24"/>
      <c r="I3363" s="25"/>
    </row>
    <row r="3364" spans="7:9" x14ac:dyDescent="0.2">
      <c r="G3364" s="23"/>
      <c r="H3364" s="24"/>
      <c r="I3364" s="25"/>
    </row>
    <row r="3365" spans="7:9" x14ac:dyDescent="0.2">
      <c r="G3365" s="23"/>
      <c r="H3365" s="24"/>
      <c r="I3365" s="25"/>
    </row>
    <row r="3366" spans="7:9" x14ac:dyDescent="0.2">
      <c r="G3366" s="23"/>
      <c r="H3366" s="24"/>
      <c r="I3366" s="25"/>
    </row>
    <row r="3367" spans="7:9" x14ac:dyDescent="0.2">
      <c r="G3367" s="23"/>
      <c r="H3367" s="24"/>
      <c r="I3367" s="25"/>
    </row>
    <row r="3368" spans="7:9" x14ac:dyDescent="0.2">
      <c r="G3368" s="23"/>
      <c r="H3368" s="24"/>
      <c r="I3368" s="25"/>
    </row>
    <row r="3369" spans="7:9" x14ac:dyDescent="0.2">
      <c r="G3369" s="23"/>
      <c r="H3369" s="24"/>
      <c r="I3369" s="25"/>
    </row>
    <row r="3370" spans="7:9" x14ac:dyDescent="0.2">
      <c r="G3370" s="23"/>
      <c r="H3370" s="24"/>
      <c r="I3370" s="25"/>
    </row>
    <row r="3371" spans="7:9" x14ac:dyDescent="0.2">
      <c r="G3371" s="23"/>
      <c r="H3371" s="24"/>
      <c r="I3371" s="25"/>
    </row>
    <row r="3372" spans="7:9" x14ac:dyDescent="0.2">
      <c r="G3372" s="23"/>
      <c r="H3372" s="24"/>
      <c r="I3372" s="25"/>
    </row>
    <row r="3373" spans="7:9" x14ac:dyDescent="0.2">
      <c r="G3373" s="23"/>
      <c r="H3373" s="24"/>
      <c r="I3373" s="25"/>
    </row>
    <row r="3374" spans="7:9" x14ac:dyDescent="0.2">
      <c r="G3374" s="23"/>
      <c r="H3374" s="24"/>
      <c r="I3374" s="25"/>
    </row>
    <row r="3375" spans="7:9" x14ac:dyDescent="0.2">
      <c r="G3375" s="23"/>
      <c r="H3375" s="24"/>
      <c r="I3375" s="25"/>
    </row>
    <row r="3376" spans="7:9" x14ac:dyDescent="0.2">
      <c r="G3376" s="23"/>
      <c r="H3376" s="24"/>
      <c r="I3376" s="25"/>
    </row>
    <row r="3377" spans="7:9" x14ac:dyDescent="0.2">
      <c r="G3377" s="23"/>
      <c r="H3377" s="24"/>
      <c r="I3377" s="25"/>
    </row>
    <row r="3378" spans="7:9" x14ac:dyDescent="0.2">
      <c r="G3378" s="23"/>
      <c r="H3378" s="24"/>
      <c r="I3378" s="25"/>
    </row>
    <row r="3379" spans="7:9" x14ac:dyDescent="0.2">
      <c r="G3379" s="23"/>
      <c r="H3379" s="24"/>
      <c r="I3379" s="25"/>
    </row>
    <row r="3380" spans="7:9" x14ac:dyDescent="0.2">
      <c r="G3380" s="23"/>
      <c r="H3380" s="24"/>
      <c r="I3380" s="25"/>
    </row>
    <row r="3381" spans="7:9" x14ac:dyDescent="0.2">
      <c r="G3381" s="23"/>
      <c r="H3381" s="24"/>
      <c r="I3381" s="25"/>
    </row>
    <row r="3382" spans="7:9" x14ac:dyDescent="0.2">
      <c r="G3382" s="23"/>
      <c r="H3382" s="24"/>
      <c r="I3382" s="25"/>
    </row>
    <row r="3383" spans="7:9" x14ac:dyDescent="0.2">
      <c r="G3383" s="23"/>
      <c r="H3383" s="24"/>
      <c r="I3383" s="25"/>
    </row>
    <row r="3384" spans="7:9" x14ac:dyDescent="0.2">
      <c r="G3384" s="23"/>
      <c r="H3384" s="24"/>
      <c r="I3384" s="25"/>
    </row>
    <row r="3385" spans="7:9" x14ac:dyDescent="0.2">
      <c r="G3385" s="23"/>
      <c r="H3385" s="24"/>
      <c r="I3385" s="25"/>
    </row>
    <row r="3386" spans="7:9" x14ac:dyDescent="0.2">
      <c r="G3386" s="23"/>
      <c r="H3386" s="24"/>
      <c r="I3386" s="25"/>
    </row>
    <row r="3387" spans="7:9" x14ac:dyDescent="0.2">
      <c r="G3387" s="23"/>
      <c r="H3387" s="24"/>
      <c r="I3387" s="25"/>
    </row>
    <row r="3388" spans="7:9" x14ac:dyDescent="0.2">
      <c r="G3388" s="23"/>
      <c r="H3388" s="24"/>
      <c r="I3388" s="25"/>
    </row>
    <row r="3389" spans="7:9" x14ac:dyDescent="0.2">
      <c r="G3389" s="23"/>
      <c r="H3389" s="24"/>
      <c r="I3389" s="25"/>
    </row>
    <row r="3390" spans="7:9" x14ac:dyDescent="0.2">
      <c r="G3390" s="23"/>
      <c r="H3390" s="24"/>
      <c r="I3390" s="25"/>
    </row>
    <row r="3391" spans="7:9" x14ac:dyDescent="0.2">
      <c r="G3391" s="23"/>
      <c r="H3391" s="24"/>
      <c r="I3391" s="25"/>
    </row>
    <row r="3392" spans="7:9" x14ac:dyDescent="0.2">
      <c r="G3392" s="23"/>
      <c r="H3392" s="24"/>
      <c r="I3392" s="25"/>
    </row>
    <row r="3393" spans="7:9" x14ac:dyDescent="0.2">
      <c r="G3393" s="23"/>
      <c r="H3393" s="24"/>
      <c r="I3393" s="25"/>
    </row>
    <row r="3394" spans="7:9" x14ac:dyDescent="0.2">
      <c r="G3394" s="23"/>
      <c r="H3394" s="24"/>
      <c r="I3394" s="25"/>
    </row>
    <row r="3395" spans="7:9" x14ac:dyDescent="0.2">
      <c r="G3395" s="23"/>
      <c r="H3395" s="24"/>
      <c r="I3395" s="25"/>
    </row>
    <row r="3396" spans="7:9" x14ac:dyDescent="0.2">
      <c r="G3396" s="23"/>
      <c r="H3396" s="24"/>
      <c r="I3396" s="25"/>
    </row>
    <row r="3397" spans="7:9" x14ac:dyDescent="0.2">
      <c r="G3397" s="23"/>
      <c r="H3397" s="24"/>
      <c r="I3397" s="25"/>
    </row>
    <row r="3398" spans="7:9" x14ac:dyDescent="0.2">
      <c r="G3398" s="23"/>
      <c r="H3398" s="24"/>
      <c r="I3398" s="25"/>
    </row>
    <row r="3399" spans="7:9" x14ac:dyDescent="0.2">
      <c r="G3399" s="23"/>
      <c r="H3399" s="24"/>
      <c r="I3399" s="25"/>
    </row>
    <row r="3400" spans="7:9" x14ac:dyDescent="0.2">
      <c r="G3400" s="23"/>
      <c r="H3400" s="24"/>
      <c r="I3400" s="25"/>
    </row>
    <row r="3401" spans="7:9" x14ac:dyDescent="0.2">
      <c r="G3401" s="23"/>
      <c r="H3401" s="24"/>
      <c r="I3401" s="25"/>
    </row>
    <row r="3402" spans="7:9" x14ac:dyDescent="0.2">
      <c r="G3402" s="23"/>
      <c r="H3402" s="24"/>
      <c r="I3402" s="25"/>
    </row>
    <row r="3403" spans="7:9" x14ac:dyDescent="0.2">
      <c r="G3403" s="23"/>
      <c r="H3403" s="24"/>
      <c r="I3403" s="25"/>
    </row>
    <row r="3404" spans="7:9" x14ac:dyDescent="0.2">
      <c r="G3404" s="23"/>
      <c r="H3404" s="24"/>
      <c r="I3404" s="25"/>
    </row>
    <row r="3405" spans="7:9" x14ac:dyDescent="0.2">
      <c r="G3405" s="23"/>
      <c r="H3405" s="24"/>
      <c r="I3405" s="25"/>
    </row>
    <row r="3406" spans="7:9" x14ac:dyDescent="0.2">
      <c r="G3406" s="23"/>
      <c r="H3406" s="24"/>
      <c r="I3406" s="25"/>
    </row>
    <row r="3407" spans="7:9" x14ac:dyDescent="0.2">
      <c r="G3407" s="23"/>
      <c r="H3407" s="24"/>
      <c r="I3407" s="25"/>
    </row>
    <row r="3408" spans="7:9" x14ac:dyDescent="0.2">
      <c r="G3408" s="23"/>
      <c r="H3408" s="24"/>
      <c r="I3408" s="25"/>
    </row>
    <row r="3409" spans="7:9" x14ac:dyDescent="0.2">
      <c r="G3409" s="23"/>
      <c r="H3409" s="24"/>
      <c r="I3409" s="25"/>
    </row>
    <row r="3410" spans="7:9" x14ac:dyDescent="0.2">
      <c r="G3410" s="23"/>
      <c r="H3410" s="24"/>
      <c r="I3410" s="25"/>
    </row>
    <row r="3411" spans="7:9" x14ac:dyDescent="0.2">
      <c r="G3411" s="23"/>
      <c r="H3411" s="24"/>
      <c r="I3411" s="25"/>
    </row>
    <row r="3412" spans="7:9" x14ac:dyDescent="0.2">
      <c r="G3412" s="23"/>
      <c r="H3412" s="24"/>
      <c r="I3412" s="25"/>
    </row>
    <row r="3413" spans="7:9" x14ac:dyDescent="0.2">
      <c r="G3413" s="23"/>
      <c r="H3413" s="24"/>
      <c r="I3413" s="25"/>
    </row>
    <row r="3414" spans="7:9" x14ac:dyDescent="0.2">
      <c r="G3414" s="23"/>
      <c r="H3414" s="24"/>
      <c r="I3414" s="25"/>
    </row>
    <row r="3415" spans="7:9" x14ac:dyDescent="0.2">
      <c r="G3415" s="23"/>
      <c r="H3415" s="24"/>
      <c r="I3415" s="25"/>
    </row>
    <row r="3416" spans="7:9" x14ac:dyDescent="0.2">
      <c r="G3416" s="23"/>
      <c r="H3416" s="24"/>
      <c r="I3416" s="25"/>
    </row>
    <row r="3417" spans="7:9" x14ac:dyDescent="0.2">
      <c r="G3417" s="23"/>
      <c r="H3417" s="24"/>
      <c r="I3417" s="25"/>
    </row>
    <row r="3418" spans="7:9" x14ac:dyDescent="0.2">
      <c r="G3418" s="23"/>
      <c r="H3418" s="24"/>
      <c r="I3418" s="25"/>
    </row>
    <row r="3419" spans="7:9" x14ac:dyDescent="0.2">
      <c r="G3419" s="23"/>
      <c r="H3419" s="24"/>
      <c r="I3419" s="25"/>
    </row>
    <row r="3420" spans="7:9" x14ac:dyDescent="0.2">
      <c r="G3420" s="23"/>
      <c r="H3420" s="24"/>
      <c r="I3420" s="25"/>
    </row>
    <row r="3421" spans="7:9" x14ac:dyDescent="0.2">
      <c r="G3421" s="23"/>
      <c r="H3421" s="24"/>
      <c r="I3421" s="25"/>
    </row>
    <row r="3422" spans="7:9" x14ac:dyDescent="0.2">
      <c r="G3422" s="23"/>
      <c r="H3422" s="24"/>
      <c r="I3422" s="25"/>
    </row>
    <row r="3423" spans="7:9" x14ac:dyDescent="0.2">
      <c r="G3423" s="23"/>
      <c r="H3423" s="24"/>
      <c r="I3423" s="25"/>
    </row>
    <row r="3424" spans="7:9" x14ac:dyDescent="0.2">
      <c r="G3424" s="23"/>
      <c r="H3424" s="24"/>
      <c r="I3424" s="25"/>
    </row>
    <row r="3425" spans="7:9" x14ac:dyDescent="0.2">
      <c r="G3425" s="23"/>
      <c r="H3425" s="24"/>
      <c r="I3425" s="25"/>
    </row>
    <row r="3426" spans="7:9" x14ac:dyDescent="0.2">
      <c r="G3426" s="23"/>
      <c r="H3426" s="24"/>
      <c r="I3426" s="25"/>
    </row>
    <row r="3427" spans="7:9" x14ac:dyDescent="0.2">
      <c r="G3427" s="23"/>
      <c r="H3427" s="24"/>
      <c r="I3427" s="25"/>
    </row>
    <row r="3428" spans="7:9" x14ac:dyDescent="0.2">
      <c r="G3428" s="23"/>
      <c r="H3428" s="24"/>
      <c r="I3428" s="25"/>
    </row>
    <row r="3429" spans="7:9" x14ac:dyDescent="0.2">
      <c r="G3429" s="23"/>
      <c r="H3429" s="24"/>
      <c r="I3429" s="25"/>
    </row>
    <row r="3430" spans="7:9" x14ac:dyDescent="0.2">
      <c r="G3430" s="23"/>
      <c r="H3430" s="24"/>
      <c r="I3430" s="25"/>
    </row>
    <row r="3431" spans="7:9" x14ac:dyDescent="0.2">
      <c r="G3431" s="23"/>
      <c r="H3431" s="24"/>
      <c r="I3431" s="25"/>
    </row>
    <row r="3432" spans="7:9" x14ac:dyDescent="0.2">
      <c r="G3432" s="23"/>
      <c r="H3432" s="24"/>
      <c r="I3432" s="25"/>
    </row>
    <row r="3433" spans="7:9" x14ac:dyDescent="0.2">
      <c r="G3433" s="23"/>
      <c r="H3433" s="24"/>
      <c r="I3433" s="25"/>
    </row>
    <row r="3434" spans="7:9" x14ac:dyDescent="0.2">
      <c r="G3434" s="23"/>
      <c r="H3434" s="24"/>
      <c r="I3434" s="25"/>
    </row>
    <row r="3435" spans="7:9" x14ac:dyDescent="0.2">
      <c r="G3435" s="23"/>
      <c r="H3435" s="24"/>
      <c r="I3435" s="25"/>
    </row>
    <row r="3436" spans="7:9" x14ac:dyDescent="0.2">
      <c r="G3436" s="23"/>
      <c r="H3436" s="24"/>
      <c r="I3436" s="25"/>
    </row>
    <row r="3437" spans="7:9" x14ac:dyDescent="0.2">
      <c r="G3437" s="23"/>
      <c r="H3437" s="24"/>
      <c r="I3437" s="25"/>
    </row>
    <row r="3438" spans="7:9" x14ac:dyDescent="0.2">
      <c r="G3438" s="23"/>
      <c r="H3438" s="24"/>
      <c r="I3438" s="25"/>
    </row>
    <row r="3439" spans="7:9" x14ac:dyDescent="0.2">
      <c r="G3439" s="23"/>
      <c r="H3439" s="24"/>
      <c r="I3439" s="25"/>
    </row>
    <row r="3440" spans="7:9" x14ac:dyDescent="0.2">
      <c r="G3440" s="23"/>
      <c r="H3440" s="24"/>
      <c r="I3440" s="25"/>
    </row>
    <row r="3441" spans="7:9" x14ac:dyDescent="0.2">
      <c r="G3441" s="23"/>
      <c r="H3441" s="24"/>
      <c r="I3441" s="25"/>
    </row>
    <row r="3442" spans="7:9" x14ac:dyDescent="0.2">
      <c r="G3442" s="23"/>
      <c r="H3442" s="24"/>
      <c r="I3442" s="25"/>
    </row>
    <row r="3443" spans="7:9" x14ac:dyDescent="0.2">
      <c r="G3443" s="23"/>
      <c r="H3443" s="24"/>
      <c r="I3443" s="25"/>
    </row>
    <row r="3444" spans="7:9" x14ac:dyDescent="0.2">
      <c r="G3444" s="23"/>
      <c r="H3444" s="24"/>
      <c r="I3444" s="25"/>
    </row>
    <row r="3445" spans="7:9" x14ac:dyDescent="0.2">
      <c r="G3445" s="23"/>
      <c r="H3445" s="24"/>
      <c r="I3445" s="25"/>
    </row>
    <row r="3446" spans="7:9" x14ac:dyDescent="0.2">
      <c r="G3446" s="23"/>
      <c r="H3446" s="24"/>
      <c r="I3446" s="25"/>
    </row>
    <row r="3447" spans="7:9" x14ac:dyDescent="0.2">
      <c r="G3447" s="23"/>
      <c r="H3447" s="24"/>
      <c r="I3447" s="25"/>
    </row>
    <row r="3448" spans="7:9" x14ac:dyDescent="0.2">
      <c r="G3448" s="23"/>
      <c r="H3448" s="24"/>
      <c r="I3448" s="25"/>
    </row>
    <row r="3449" spans="7:9" x14ac:dyDescent="0.2">
      <c r="G3449" s="23"/>
      <c r="H3449" s="24"/>
      <c r="I3449" s="25"/>
    </row>
    <row r="3450" spans="7:9" x14ac:dyDescent="0.2">
      <c r="G3450" s="23"/>
      <c r="H3450" s="24"/>
      <c r="I3450" s="25"/>
    </row>
    <row r="3451" spans="7:9" x14ac:dyDescent="0.2">
      <c r="G3451" s="23"/>
      <c r="H3451" s="24"/>
      <c r="I3451" s="25"/>
    </row>
    <row r="3452" spans="7:9" x14ac:dyDescent="0.2">
      <c r="G3452" s="23"/>
      <c r="H3452" s="24"/>
      <c r="I3452" s="25"/>
    </row>
    <row r="3453" spans="7:9" x14ac:dyDescent="0.2">
      <c r="G3453" s="23"/>
      <c r="H3453" s="24"/>
      <c r="I3453" s="25"/>
    </row>
    <row r="3454" spans="7:9" x14ac:dyDescent="0.2">
      <c r="G3454" s="23"/>
      <c r="H3454" s="24"/>
      <c r="I3454" s="25"/>
    </row>
    <row r="3455" spans="7:9" x14ac:dyDescent="0.2">
      <c r="G3455" s="23"/>
      <c r="H3455" s="24"/>
      <c r="I3455" s="25"/>
    </row>
    <row r="3456" spans="7:9" x14ac:dyDescent="0.2">
      <c r="G3456" s="23"/>
      <c r="H3456" s="24"/>
      <c r="I3456" s="25"/>
    </row>
    <row r="3457" spans="7:9" x14ac:dyDescent="0.2">
      <c r="G3457" s="23"/>
      <c r="H3457" s="24"/>
      <c r="I3457" s="25"/>
    </row>
    <row r="3458" spans="7:9" x14ac:dyDescent="0.2">
      <c r="G3458" s="23"/>
      <c r="H3458" s="24"/>
      <c r="I3458" s="25"/>
    </row>
    <row r="3459" spans="7:9" x14ac:dyDescent="0.2">
      <c r="G3459" s="23"/>
      <c r="H3459" s="24"/>
      <c r="I3459" s="25"/>
    </row>
    <row r="3460" spans="7:9" x14ac:dyDescent="0.2">
      <c r="G3460" s="23"/>
      <c r="H3460" s="24"/>
      <c r="I3460" s="25"/>
    </row>
    <row r="3461" spans="7:9" x14ac:dyDescent="0.2">
      <c r="G3461" s="23"/>
      <c r="H3461" s="24"/>
      <c r="I3461" s="25"/>
    </row>
    <row r="3462" spans="7:9" x14ac:dyDescent="0.2">
      <c r="G3462" s="23"/>
      <c r="H3462" s="24"/>
      <c r="I3462" s="25"/>
    </row>
    <row r="3463" spans="7:9" x14ac:dyDescent="0.2">
      <c r="G3463" s="23"/>
      <c r="H3463" s="24"/>
      <c r="I3463" s="25"/>
    </row>
    <row r="3464" spans="7:9" x14ac:dyDescent="0.2">
      <c r="G3464" s="23"/>
      <c r="H3464" s="24"/>
      <c r="I3464" s="25"/>
    </row>
    <row r="3465" spans="7:9" x14ac:dyDescent="0.2">
      <c r="G3465" s="23"/>
      <c r="H3465" s="24"/>
      <c r="I3465" s="25"/>
    </row>
    <row r="3466" spans="7:9" x14ac:dyDescent="0.2">
      <c r="G3466" s="23"/>
      <c r="H3466" s="24"/>
      <c r="I3466" s="25"/>
    </row>
    <row r="3467" spans="7:9" x14ac:dyDescent="0.2">
      <c r="G3467" s="23"/>
      <c r="H3467" s="24"/>
      <c r="I3467" s="25"/>
    </row>
    <row r="3468" spans="7:9" x14ac:dyDescent="0.2">
      <c r="G3468" s="23"/>
      <c r="H3468" s="24"/>
      <c r="I3468" s="25"/>
    </row>
    <row r="3469" spans="7:9" x14ac:dyDescent="0.2">
      <c r="G3469" s="23"/>
      <c r="H3469" s="24"/>
      <c r="I3469" s="25"/>
    </row>
    <row r="3470" spans="7:9" x14ac:dyDescent="0.2">
      <c r="G3470" s="23"/>
      <c r="H3470" s="24"/>
      <c r="I3470" s="25"/>
    </row>
    <row r="3471" spans="7:9" x14ac:dyDescent="0.2">
      <c r="G3471" s="23"/>
      <c r="H3471" s="24"/>
      <c r="I3471" s="25"/>
    </row>
    <row r="3472" spans="7:9" x14ac:dyDescent="0.2">
      <c r="G3472" s="23"/>
      <c r="H3472" s="24"/>
      <c r="I3472" s="25"/>
    </row>
    <row r="3473" spans="7:9" x14ac:dyDescent="0.2">
      <c r="G3473" s="23"/>
      <c r="H3473" s="24"/>
      <c r="I3473" s="25"/>
    </row>
    <row r="3474" spans="7:9" x14ac:dyDescent="0.2">
      <c r="G3474" s="23"/>
      <c r="H3474" s="24"/>
      <c r="I3474" s="25"/>
    </row>
    <row r="3475" spans="7:9" x14ac:dyDescent="0.2">
      <c r="G3475" s="23"/>
      <c r="H3475" s="24"/>
      <c r="I3475" s="25"/>
    </row>
    <row r="3476" spans="7:9" x14ac:dyDescent="0.2">
      <c r="G3476" s="23"/>
      <c r="H3476" s="24"/>
      <c r="I3476" s="25"/>
    </row>
    <row r="3477" spans="7:9" x14ac:dyDescent="0.2">
      <c r="G3477" s="23"/>
      <c r="H3477" s="24"/>
      <c r="I3477" s="25"/>
    </row>
    <row r="3478" spans="7:9" x14ac:dyDescent="0.2">
      <c r="G3478" s="23"/>
      <c r="H3478" s="24"/>
      <c r="I3478" s="25"/>
    </row>
    <row r="3479" spans="7:9" x14ac:dyDescent="0.2">
      <c r="G3479" s="23"/>
      <c r="H3479" s="24"/>
      <c r="I3479" s="25"/>
    </row>
    <row r="3480" spans="7:9" x14ac:dyDescent="0.2">
      <c r="G3480" s="23"/>
      <c r="H3480" s="24"/>
      <c r="I3480" s="25"/>
    </row>
    <row r="3481" spans="7:9" x14ac:dyDescent="0.2">
      <c r="G3481" s="23"/>
      <c r="H3481" s="24"/>
      <c r="I3481" s="25"/>
    </row>
    <row r="3482" spans="7:9" x14ac:dyDescent="0.2">
      <c r="G3482" s="23"/>
      <c r="H3482" s="24"/>
      <c r="I3482" s="25"/>
    </row>
    <row r="3483" spans="7:9" x14ac:dyDescent="0.2">
      <c r="G3483" s="23"/>
      <c r="H3483" s="24"/>
      <c r="I3483" s="25"/>
    </row>
    <row r="3484" spans="7:9" x14ac:dyDescent="0.2">
      <c r="G3484" s="23"/>
      <c r="H3484" s="24"/>
      <c r="I3484" s="25"/>
    </row>
    <row r="3485" spans="7:9" x14ac:dyDescent="0.2">
      <c r="G3485" s="23"/>
      <c r="H3485" s="24"/>
      <c r="I3485" s="25"/>
    </row>
    <row r="3486" spans="7:9" x14ac:dyDescent="0.2">
      <c r="G3486" s="23"/>
      <c r="H3486" s="24"/>
      <c r="I3486" s="25"/>
    </row>
    <row r="3487" spans="7:9" x14ac:dyDescent="0.2">
      <c r="G3487" s="23"/>
      <c r="H3487" s="24"/>
      <c r="I3487" s="25"/>
    </row>
    <row r="3488" spans="7:9" x14ac:dyDescent="0.2">
      <c r="G3488" s="23"/>
      <c r="H3488" s="24"/>
      <c r="I3488" s="25"/>
    </row>
    <row r="3489" spans="7:9" x14ac:dyDescent="0.2">
      <c r="G3489" s="23"/>
      <c r="H3489" s="24"/>
      <c r="I3489" s="25"/>
    </row>
    <row r="3490" spans="7:9" x14ac:dyDescent="0.2">
      <c r="G3490" s="23"/>
      <c r="H3490" s="24"/>
      <c r="I3490" s="25"/>
    </row>
    <row r="3491" spans="7:9" x14ac:dyDescent="0.2">
      <c r="G3491" s="23"/>
      <c r="H3491" s="24"/>
      <c r="I3491" s="25"/>
    </row>
    <row r="3492" spans="7:9" x14ac:dyDescent="0.2">
      <c r="G3492" s="23"/>
      <c r="H3492" s="24"/>
      <c r="I3492" s="25"/>
    </row>
    <row r="3493" spans="7:9" x14ac:dyDescent="0.2">
      <c r="G3493" s="23"/>
      <c r="H3493" s="24"/>
      <c r="I3493" s="25"/>
    </row>
    <row r="3494" spans="7:9" x14ac:dyDescent="0.2">
      <c r="G3494" s="23"/>
      <c r="H3494" s="24"/>
      <c r="I3494" s="25"/>
    </row>
    <row r="3495" spans="7:9" x14ac:dyDescent="0.2">
      <c r="G3495" s="23"/>
      <c r="H3495" s="24"/>
      <c r="I3495" s="25"/>
    </row>
    <row r="3496" spans="7:9" x14ac:dyDescent="0.2">
      <c r="G3496" s="23"/>
      <c r="H3496" s="24"/>
      <c r="I3496" s="25"/>
    </row>
    <row r="3497" spans="7:9" x14ac:dyDescent="0.2">
      <c r="G3497" s="23"/>
      <c r="H3497" s="24"/>
      <c r="I3497" s="25"/>
    </row>
    <row r="3498" spans="7:9" x14ac:dyDescent="0.2">
      <c r="G3498" s="23"/>
      <c r="H3498" s="24"/>
      <c r="I3498" s="25"/>
    </row>
    <row r="3499" spans="7:9" x14ac:dyDescent="0.2">
      <c r="G3499" s="23"/>
      <c r="H3499" s="24"/>
      <c r="I3499" s="25"/>
    </row>
    <row r="3500" spans="7:9" x14ac:dyDescent="0.2">
      <c r="G3500" s="23"/>
      <c r="H3500" s="24"/>
      <c r="I3500" s="25"/>
    </row>
    <row r="3501" spans="7:9" x14ac:dyDescent="0.2">
      <c r="G3501" s="23"/>
      <c r="H3501" s="24"/>
      <c r="I3501" s="25"/>
    </row>
    <row r="3502" spans="7:9" x14ac:dyDescent="0.2">
      <c r="G3502" s="23"/>
      <c r="H3502" s="24"/>
      <c r="I3502" s="25"/>
    </row>
    <row r="3503" spans="7:9" x14ac:dyDescent="0.2">
      <c r="G3503" s="23"/>
      <c r="H3503" s="24"/>
      <c r="I3503" s="25"/>
    </row>
    <row r="3504" spans="7:9" x14ac:dyDescent="0.2">
      <c r="G3504" s="23"/>
      <c r="H3504" s="24"/>
      <c r="I3504" s="25"/>
    </row>
    <row r="3505" spans="7:9" x14ac:dyDescent="0.2">
      <c r="G3505" s="23"/>
      <c r="H3505" s="24"/>
      <c r="I3505" s="25"/>
    </row>
    <row r="3506" spans="7:9" x14ac:dyDescent="0.2">
      <c r="G3506" s="23"/>
      <c r="H3506" s="24"/>
      <c r="I3506" s="25"/>
    </row>
    <row r="3507" spans="7:9" x14ac:dyDescent="0.2">
      <c r="G3507" s="23"/>
      <c r="H3507" s="24"/>
      <c r="I3507" s="25"/>
    </row>
    <row r="3508" spans="7:9" x14ac:dyDescent="0.2">
      <c r="G3508" s="23"/>
      <c r="H3508" s="24"/>
      <c r="I3508" s="25"/>
    </row>
    <row r="3509" spans="7:9" x14ac:dyDescent="0.2">
      <c r="G3509" s="23"/>
      <c r="H3509" s="24"/>
      <c r="I3509" s="25"/>
    </row>
    <row r="3510" spans="7:9" x14ac:dyDescent="0.2">
      <c r="G3510" s="23"/>
      <c r="H3510" s="24"/>
      <c r="I3510" s="25"/>
    </row>
    <row r="3511" spans="7:9" x14ac:dyDescent="0.2">
      <c r="G3511" s="23"/>
      <c r="H3511" s="24"/>
      <c r="I3511" s="25"/>
    </row>
    <row r="3512" spans="7:9" x14ac:dyDescent="0.2">
      <c r="G3512" s="23"/>
      <c r="H3512" s="24"/>
      <c r="I3512" s="25"/>
    </row>
    <row r="3513" spans="7:9" x14ac:dyDescent="0.2">
      <c r="G3513" s="23"/>
      <c r="H3513" s="24"/>
      <c r="I3513" s="25"/>
    </row>
    <row r="3514" spans="7:9" x14ac:dyDescent="0.2">
      <c r="G3514" s="23"/>
      <c r="H3514" s="24"/>
      <c r="I3514" s="25"/>
    </row>
    <row r="3515" spans="7:9" x14ac:dyDescent="0.2">
      <c r="G3515" s="23"/>
      <c r="H3515" s="24"/>
      <c r="I3515" s="25"/>
    </row>
    <row r="3516" spans="7:9" x14ac:dyDescent="0.2">
      <c r="G3516" s="23"/>
      <c r="H3516" s="24"/>
      <c r="I3516" s="25"/>
    </row>
    <row r="3517" spans="7:9" x14ac:dyDescent="0.2">
      <c r="G3517" s="23"/>
      <c r="H3517" s="24"/>
      <c r="I3517" s="25"/>
    </row>
    <row r="3518" spans="7:9" x14ac:dyDescent="0.2">
      <c r="G3518" s="23"/>
      <c r="H3518" s="24"/>
      <c r="I3518" s="25"/>
    </row>
    <row r="3519" spans="7:9" x14ac:dyDescent="0.2">
      <c r="G3519" s="23"/>
      <c r="H3519" s="24"/>
      <c r="I3519" s="25"/>
    </row>
    <row r="3520" spans="7:9" x14ac:dyDescent="0.2">
      <c r="G3520" s="23"/>
      <c r="H3520" s="24"/>
      <c r="I3520" s="25"/>
    </row>
    <row r="3521" spans="7:9" x14ac:dyDescent="0.2">
      <c r="G3521" s="23"/>
      <c r="H3521" s="24"/>
      <c r="I3521" s="25"/>
    </row>
    <row r="3522" spans="7:9" x14ac:dyDescent="0.2">
      <c r="G3522" s="23"/>
      <c r="H3522" s="24"/>
      <c r="I3522" s="25"/>
    </row>
    <row r="3523" spans="7:9" x14ac:dyDescent="0.2">
      <c r="G3523" s="23"/>
      <c r="H3523" s="24"/>
      <c r="I3523" s="25"/>
    </row>
    <row r="3524" spans="7:9" x14ac:dyDescent="0.2">
      <c r="G3524" s="23"/>
      <c r="H3524" s="24"/>
      <c r="I3524" s="25"/>
    </row>
    <row r="3525" spans="7:9" x14ac:dyDescent="0.2">
      <c r="G3525" s="23"/>
      <c r="H3525" s="24"/>
      <c r="I3525" s="25"/>
    </row>
    <row r="3526" spans="7:9" x14ac:dyDescent="0.2">
      <c r="G3526" s="23"/>
      <c r="H3526" s="24"/>
      <c r="I3526" s="25"/>
    </row>
    <row r="3527" spans="7:9" x14ac:dyDescent="0.2">
      <c r="G3527" s="23"/>
      <c r="H3527" s="24"/>
      <c r="I3527" s="25"/>
    </row>
    <row r="3528" spans="7:9" x14ac:dyDescent="0.2">
      <c r="G3528" s="23"/>
      <c r="H3528" s="24"/>
      <c r="I3528" s="25"/>
    </row>
    <row r="3529" spans="7:9" x14ac:dyDescent="0.2">
      <c r="G3529" s="23"/>
      <c r="H3529" s="24"/>
      <c r="I3529" s="25"/>
    </row>
    <row r="3530" spans="7:9" x14ac:dyDescent="0.2">
      <c r="G3530" s="23"/>
      <c r="H3530" s="24"/>
      <c r="I3530" s="25"/>
    </row>
    <row r="3531" spans="7:9" x14ac:dyDescent="0.2">
      <c r="G3531" s="23"/>
      <c r="H3531" s="24"/>
      <c r="I3531" s="25"/>
    </row>
    <row r="3532" spans="7:9" x14ac:dyDescent="0.2">
      <c r="G3532" s="23"/>
      <c r="H3532" s="24"/>
      <c r="I3532" s="25"/>
    </row>
    <row r="3533" spans="7:9" x14ac:dyDescent="0.2">
      <c r="G3533" s="23"/>
      <c r="H3533" s="24"/>
      <c r="I3533" s="25"/>
    </row>
    <row r="3534" spans="7:9" x14ac:dyDescent="0.2">
      <c r="G3534" s="23"/>
      <c r="H3534" s="24"/>
      <c r="I3534" s="25"/>
    </row>
    <row r="3535" spans="7:9" x14ac:dyDescent="0.2">
      <c r="G3535" s="23"/>
      <c r="H3535" s="24"/>
      <c r="I3535" s="25"/>
    </row>
    <row r="3536" spans="7:9" x14ac:dyDescent="0.2">
      <c r="G3536" s="23"/>
      <c r="H3536" s="24"/>
      <c r="I3536" s="25"/>
    </row>
    <row r="3537" spans="7:9" x14ac:dyDescent="0.2">
      <c r="G3537" s="23"/>
      <c r="H3537" s="24"/>
      <c r="I3537" s="25"/>
    </row>
    <row r="3538" spans="7:9" x14ac:dyDescent="0.2">
      <c r="G3538" s="23"/>
      <c r="H3538" s="24"/>
      <c r="I3538" s="25"/>
    </row>
    <row r="3539" spans="7:9" x14ac:dyDescent="0.2">
      <c r="G3539" s="23"/>
      <c r="H3539" s="24"/>
      <c r="I3539" s="25"/>
    </row>
    <row r="3540" spans="7:9" x14ac:dyDescent="0.2">
      <c r="G3540" s="23"/>
      <c r="H3540" s="24"/>
      <c r="I3540" s="25"/>
    </row>
    <row r="3541" spans="7:9" x14ac:dyDescent="0.2">
      <c r="G3541" s="23"/>
      <c r="H3541" s="24"/>
      <c r="I3541" s="25"/>
    </row>
    <row r="3542" spans="7:9" x14ac:dyDescent="0.2">
      <c r="G3542" s="23"/>
      <c r="H3542" s="24"/>
      <c r="I3542" s="25"/>
    </row>
    <row r="3543" spans="7:9" x14ac:dyDescent="0.2">
      <c r="G3543" s="23"/>
      <c r="H3543" s="24"/>
      <c r="I3543" s="25"/>
    </row>
    <row r="3544" spans="7:9" x14ac:dyDescent="0.2">
      <c r="G3544" s="23"/>
      <c r="H3544" s="24"/>
      <c r="I3544" s="25"/>
    </row>
    <row r="3545" spans="7:9" x14ac:dyDescent="0.2">
      <c r="G3545" s="23"/>
      <c r="H3545" s="24"/>
      <c r="I3545" s="25"/>
    </row>
    <row r="3546" spans="7:9" x14ac:dyDescent="0.2">
      <c r="G3546" s="23"/>
      <c r="H3546" s="24"/>
      <c r="I3546" s="25"/>
    </row>
    <row r="3547" spans="7:9" x14ac:dyDescent="0.2">
      <c r="G3547" s="23"/>
      <c r="H3547" s="24"/>
      <c r="I3547" s="25"/>
    </row>
    <row r="3548" spans="7:9" x14ac:dyDescent="0.2">
      <c r="G3548" s="23"/>
      <c r="H3548" s="24"/>
      <c r="I3548" s="25"/>
    </row>
    <row r="3549" spans="7:9" x14ac:dyDescent="0.2">
      <c r="G3549" s="23"/>
      <c r="H3549" s="24"/>
      <c r="I3549" s="25"/>
    </row>
    <row r="3550" spans="7:9" x14ac:dyDescent="0.2">
      <c r="G3550" s="23"/>
      <c r="H3550" s="24"/>
      <c r="I3550" s="25"/>
    </row>
    <row r="3551" spans="7:9" x14ac:dyDescent="0.2">
      <c r="G3551" s="23"/>
      <c r="H3551" s="24"/>
      <c r="I3551" s="25"/>
    </row>
    <row r="3552" spans="7:9" x14ac:dyDescent="0.2">
      <c r="G3552" s="23"/>
      <c r="H3552" s="24"/>
      <c r="I3552" s="25"/>
    </row>
    <row r="3553" spans="7:9" x14ac:dyDescent="0.2">
      <c r="G3553" s="23"/>
      <c r="H3553" s="24"/>
      <c r="I3553" s="25"/>
    </row>
    <row r="3554" spans="7:9" x14ac:dyDescent="0.2">
      <c r="G3554" s="23"/>
      <c r="H3554" s="24"/>
      <c r="I3554" s="25"/>
    </row>
    <row r="3555" spans="7:9" x14ac:dyDescent="0.2">
      <c r="G3555" s="23"/>
      <c r="H3555" s="24"/>
      <c r="I3555" s="25"/>
    </row>
    <row r="3556" spans="7:9" x14ac:dyDescent="0.2">
      <c r="G3556" s="23"/>
      <c r="H3556" s="24"/>
      <c r="I3556" s="25"/>
    </row>
    <row r="3557" spans="7:9" x14ac:dyDescent="0.2">
      <c r="G3557" s="23"/>
      <c r="H3557" s="24"/>
      <c r="I3557" s="25"/>
    </row>
    <row r="3558" spans="7:9" x14ac:dyDescent="0.2">
      <c r="G3558" s="23"/>
      <c r="H3558" s="24"/>
      <c r="I3558" s="25"/>
    </row>
    <row r="3559" spans="7:9" x14ac:dyDescent="0.2">
      <c r="G3559" s="23"/>
      <c r="H3559" s="24"/>
      <c r="I3559" s="25"/>
    </row>
    <row r="3560" spans="7:9" x14ac:dyDescent="0.2">
      <c r="G3560" s="23"/>
      <c r="H3560" s="24"/>
      <c r="I3560" s="25"/>
    </row>
    <row r="3561" spans="7:9" x14ac:dyDescent="0.2">
      <c r="G3561" s="23"/>
      <c r="H3561" s="24"/>
      <c r="I3561" s="25"/>
    </row>
    <row r="3562" spans="7:9" x14ac:dyDescent="0.2">
      <c r="G3562" s="23"/>
      <c r="H3562" s="24"/>
      <c r="I3562" s="25"/>
    </row>
    <row r="3563" spans="7:9" x14ac:dyDescent="0.2">
      <c r="G3563" s="23"/>
      <c r="H3563" s="24"/>
      <c r="I3563" s="25"/>
    </row>
    <row r="3564" spans="7:9" x14ac:dyDescent="0.2">
      <c r="G3564" s="23"/>
      <c r="H3564" s="24"/>
      <c r="I3564" s="25"/>
    </row>
    <row r="3565" spans="7:9" x14ac:dyDescent="0.2">
      <c r="G3565" s="23"/>
      <c r="H3565" s="24"/>
      <c r="I3565" s="25"/>
    </row>
    <row r="3566" spans="7:9" x14ac:dyDescent="0.2">
      <c r="G3566" s="23"/>
      <c r="H3566" s="24"/>
      <c r="I3566" s="25"/>
    </row>
    <row r="3567" spans="7:9" x14ac:dyDescent="0.2">
      <c r="G3567" s="23"/>
      <c r="H3567" s="24"/>
      <c r="I3567" s="25"/>
    </row>
    <row r="3568" spans="7:9" x14ac:dyDescent="0.2">
      <c r="G3568" s="23"/>
      <c r="H3568" s="24"/>
      <c r="I3568" s="25"/>
    </row>
    <row r="3569" spans="7:9" x14ac:dyDescent="0.2">
      <c r="G3569" s="23"/>
      <c r="H3569" s="24"/>
      <c r="I3569" s="25"/>
    </row>
    <row r="3570" spans="7:9" x14ac:dyDescent="0.2">
      <c r="G3570" s="23"/>
      <c r="H3570" s="24"/>
      <c r="I3570" s="25"/>
    </row>
    <row r="3571" spans="7:9" x14ac:dyDescent="0.2">
      <c r="G3571" s="23"/>
      <c r="H3571" s="24"/>
      <c r="I3571" s="25"/>
    </row>
    <row r="3572" spans="7:9" x14ac:dyDescent="0.2">
      <c r="G3572" s="23"/>
      <c r="H3572" s="24"/>
      <c r="I3572" s="25"/>
    </row>
    <row r="3573" spans="7:9" x14ac:dyDescent="0.2">
      <c r="G3573" s="23"/>
      <c r="H3573" s="24"/>
      <c r="I3573" s="25"/>
    </row>
    <row r="3574" spans="7:9" x14ac:dyDescent="0.2">
      <c r="G3574" s="23"/>
      <c r="H3574" s="24"/>
      <c r="I3574" s="25"/>
    </row>
    <row r="3575" spans="7:9" x14ac:dyDescent="0.2">
      <c r="G3575" s="23"/>
      <c r="H3575" s="24"/>
      <c r="I3575" s="25"/>
    </row>
    <row r="3576" spans="7:9" x14ac:dyDescent="0.2">
      <c r="G3576" s="23"/>
      <c r="H3576" s="24"/>
      <c r="I3576" s="25"/>
    </row>
    <row r="3577" spans="7:9" x14ac:dyDescent="0.2">
      <c r="G3577" s="23"/>
      <c r="H3577" s="24"/>
      <c r="I3577" s="25"/>
    </row>
    <row r="3578" spans="7:9" x14ac:dyDescent="0.2">
      <c r="G3578" s="23"/>
      <c r="H3578" s="24"/>
      <c r="I3578" s="25"/>
    </row>
    <row r="3579" spans="7:9" x14ac:dyDescent="0.2">
      <c r="G3579" s="23"/>
      <c r="H3579" s="24"/>
      <c r="I3579" s="25"/>
    </row>
    <row r="3580" spans="7:9" x14ac:dyDescent="0.2">
      <c r="G3580" s="23"/>
      <c r="H3580" s="24"/>
      <c r="I3580" s="25"/>
    </row>
    <row r="3581" spans="7:9" x14ac:dyDescent="0.2">
      <c r="G3581" s="23"/>
      <c r="H3581" s="24"/>
      <c r="I3581" s="25"/>
    </row>
    <row r="3582" spans="7:9" x14ac:dyDescent="0.2">
      <c r="G3582" s="23"/>
      <c r="H3582" s="24"/>
      <c r="I3582" s="25"/>
    </row>
    <row r="3583" spans="7:9" x14ac:dyDescent="0.2">
      <c r="G3583" s="23"/>
      <c r="H3583" s="24"/>
      <c r="I3583" s="25"/>
    </row>
    <row r="3584" spans="7:9" x14ac:dyDescent="0.2">
      <c r="G3584" s="23"/>
      <c r="H3584" s="24"/>
      <c r="I3584" s="25"/>
    </row>
    <row r="3585" spans="7:9" x14ac:dyDescent="0.2">
      <c r="G3585" s="23"/>
      <c r="H3585" s="24"/>
      <c r="I3585" s="25"/>
    </row>
    <row r="3586" spans="7:9" x14ac:dyDescent="0.2">
      <c r="G3586" s="23"/>
      <c r="H3586" s="24"/>
      <c r="I3586" s="25"/>
    </row>
    <row r="3587" spans="7:9" x14ac:dyDescent="0.2">
      <c r="G3587" s="23"/>
      <c r="H3587" s="24"/>
      <c r="I3587" s="25"/>
    </row>
    <row r="3588" spans="7:9" x14ac:dyDescent="0.2">
      <c r="G3588" s="23"/>
      <c r="H3588" s="24"/>
      <c r="I3588" s="25"/>
    </row>
    <row r="3589" spans="7:9" x14ac:dyDescent="0.2">
      <c r="G3589" s="23"/>
      <c r="H3589" s="24"/>
      <c r="I3589" s="25"/>
    </row>
    <row r="3590" spans="7:9" x14ac:dyDescent="0.2">
      <c r="G3590" s="23"/>
      <c r="H3590" s="24"/>
      <c r="I3590" s="25"/>
    </row>
    <row r="3591" spans="7:9" x14ac:dyDescent="0.2">
      <c r="G3591" s="23"/>
      <c r="H3591" s="24"/>
      <c r="I3591" s="25"/>
    </row>
    <row r="3592" spans="7:9" x14ac:dyDescent="0.2">
      <c r="G3592" s="23"/>
      <c r="H3592" s="24"/>
      <c r="I3592" s="25"/>
    </row>
    <row r="3593" spans="7:9" x14ac:dyDescent="0.2">
      <c r="G3593" s="23"/>
      <c r="H3593" s="24"/>
      <c r="I3593" s="25"/>
    </row>
    <row r="3594" spans="7:9" x14ac:dyDescent="0.2">
      <c r="G3594" s="23"/>
      <c r="H3594" s="24"/>
      <c r="I3594" s="25"/>
    </row>
    <row r="3595" spans="7:9" x14ac:dyDescent="0.2">
      <c r="G3595" s="23"/>
      <c r="H3595" s="24"/>
      <c r="I3595" s="25"/>
    </row>
    <row r="3596" spans="7:9" x14ac:dyDescent="0.2">
      <c r="G3596" s="23"/>
      <c r="H3596" s="24"/>
      <c r="I3596" s="25"/>
    </row>
    <row r="3597" spans="7:9" x14ac:dyDescent="0.2">
      <c r="G3597" s="23"/>
      <c r="H3597" s="24"/>
      <c r="I3597" s="25"/>
    </row>
    <row r="3598" spans="7:9" x14ac:dyDescent="0.2">
      <c r="G3598" s="23"/>
      <c r="H3598" s="24"/>
      <c r="I3598" s="25"/>
    </row>
    <row r="3599" spans="7:9" x14ac:dyDescent="0.2">
      <c r="G3599" s="23"/>
      <c r="H3599" s="24"/>
      <c r="I3599" s="25"/>
    </row>
    <row r="3600" spans="7:9" x14ac:dyDescent="0.2">
      <c r="G3600" s="23"/>
      <c r="H3600" s="24"/>
      <c r="I3600" s="25"/>
    </row>
    <row r="3601" spans="7:9" x14ac:dyDescent="0.2">
      <c r="G3601" s="23"/>
      <c r="H3601" s="24"/>
      <c r="I3601" s="25"/>
    </row>
    <row r="3602" spans="7:9" x14ac:dyDescent="0.2">
      <c r="G3602" s="23"/>
      <c r="H3602" s="24"/>
      <c r="I3602" s="25"/>
    </row>
    <row r="3603" spans="7:9" x14ac:dyDescent="0.2">
      <c r="G3603" s="23"/>
      <c r="H3603" s="24"/>
      <c r="I3603" s="25"/>
    </row>
    <row r="3604" spans="7:9" x14ac:dyDescent="0.2">
      <c r="G3604" s="23"/>
      <c r="H3604" s="24"/>
      <c r="I3604" s="25"/>
    </row>
    <row r="3605" spans="7:9" x14ac:dyDescent="0.2">
      <c r="G3605" s="23"/>
      <c r="H3605" s="24"/>
      <c r="I3605" s="25"/>
    </row>
    <row r="3606" spans="7:9" x14ac:dyDescent="0.2">
      <c r="G3606" s="23"/>
      <c r="H3606" s="24"/>
      <c r="I3606" s="25"/>
    </row>
    <row r="3607" spans="7:9" x14ac:dyDescent="0.2">
      <c r="G3607" s="23"/>
      <c r="H3607" s="24"/>
      <c r="I3607" s="25"/>
    </row>
    <row r="3608" spans="7:9" x14ac:dyDescent="0.2">
      <c r="G3608" s="23"/>
      <c r="H3608" s="24"/>
      <c r="I3608" s="25"/>
    </row>
    <row r="3609" spans="7:9" x14ac:dyDescent="0.2">
      <c r="G3609" s="23"/>
      <c r="H3609" s="24"/>
      <c r="I3609" s="25"/>
    </row>
    <row r="3610" spans="7:9" x14ac:dyDescent="0.2">
      <c r="G3610" s="23"/>
      <c r="H3610" s="24"/>
      <c r="I3610" s="25"/>
    </row>
    <row r="3611" spans="7:9" x14ac:dyDescent="0.2">
      <c r="G3611" s="23"/>
      <c r="H3611" s="24"/>
      <c r="I3611" s="25"/>
    </row>
    <row r="3612" spans="7:9" x14ac:dyDescent="0.2">
      <c r="G3612" s="23"/>
      <c r="H3612" s="24"/>
      <c r="I3612" s="25"/>
    </row>
    <row r="3613" spans="7:9" x14ac:dyDescent="0.2">
      <c r="G3613" s="23"/>
      <c r="H3613" s="24"/>
      <c r="I3613" s="25"/>
    </row>
    <row r="3614" spans="7:9" x14ac:dyDescent="0.2">
      <c r="G3614" s="23"/>
      <c r="H3614" s="24"/>
      <c r="I3614" s="25"/>
    </row>
    <row r="3615" spans="7:9" x14ac:dyDescent="0.2">
      <c r="G3615" s="23"/>
      <c r="H3615" s="24"/>
      <c r="I3615" s="25"/>
    </row>
    <row r="3616" spans="7:9" x14ac:dyDescent="0.2">
      <c r="G3616" s="23"/>
      <c r="H3616" s="24"/>
      <c r="I3616" s="25"/>
    </row>
    <row r="3617" spans="7:9" x14ac:dyDescent="0.2">
      <c r="G3617" s="23"/>
      <c r="H3617" s="24"/>
      <c r="I3617" s="25"/>
    </row>
    <row r="3618" spans="7:9" x14ac:dyDescent="0.2">
      <c r="G3618" s="23"/>
      <c r="H3618" s="24"/>
      <c r="I3618" s="25"/>
    </row>
    <row r="3619" spans="7:9" x14ac:dyDescent="0.2">
      <c r="G3619" s="23"/>
      <c r="H3619" s="24"/>
      <c r="I3619" s="25"/>
    </row>
    <row r="3620" spans="7:9" x14ac:dyDescent="0.2">
      <c r="G3620" s="23"/>
      <c r="H3620" s="24"/>
      <c r="I3620" s="25"/>
    </row>
    <row r="3621" spans="7:9" x14ac:dyDescent="0.2">
      <c r="G3621" s="23"/>
      <c r="H3621" s="24"/>
      <c r="I3621" s="25"/>
    </row>
    <row r="3622" spans="7:9" x14ac:dyDescent="0.2">
      <c r="G3622" s="23"/>
      <c r="H3622" s="24"/>
      <c r="I3622" s="25"/>
    </row>
    <row r="3623" spans="7:9" x14ac:dyDescent="0.2">
      <c r="G3623" s="23"/>
      <c r="H3623" s="24"/>
      <c r="I3623" s="25"/>
    </row>
    <row r="3624" spans="7:9" x14ac:dyDescent="0.2">
      <c r="G3624" s="23"/>
      <c r="H3624" s="24"/>
      <c r="I3624" s="25"/>
    </row>
    <row r="3625" spans="7:9" x14ac:dyDescent="0.2">
      <c r="G3625" s="23"/>
      <c r="H3625" s="24"/>
      <c r="I3625" s="25"/>
    </row>
    <row r="3626" spans="7:9" x14ac:dyDescent="0.2">
      <c r="G3626" s="23"/>
      <c r="H3626" s="24"/>
      <c r="I3626" s="25"/>
    </row>
    <row r="3627" spans="7:9" x14ac:dyDescent="0.2">
      <c r="G3627" s="23"/>
      <c r="H3627" s="24"/>
      <c r="I3627" s="25"/>
    </row>
    <row r="3628" spans="7:9" x14ac:dyDescent="0.2">
      <c r="G3628" s="23"/>
      <c r="H3628" s="24"/>
      <c r="I3628" s="25"/>
    </row>
    <row r="3629" spans="7:9" x14ac:dyDescent="0.2">
      <c r="G3629" s="23"/>
      <c r="H3629" s="24"/>
      <c r="I3629" s="25"/>
    </row>
    <row r="3630" spans="7:9" x14ac:dyDescent="0.2">
      <c r="G3630" s="23"/>
      <c r="H3630" s="24"/>
      <c r="I3630" s="25"/>
    </row>
    <row r="3631" spans="7:9" x14ac:dyDescent="0.2">
      <c r="G3631" s="23"/>
      <c r="H3631" s="24"/>
      <c r="I3631" s="25"/>
    </row>
    <row r="3632" spans="7:9" x14ac:dyDescent="0.2">
      <c r="G3632" s="23"/>
      <c r="H3632" s="24"/>
      <c r="I3632" s="25"/>
    </row>
    <row r="3633" spans="7:9" x14ac:dyDescent="0.2">
      <c r="G3633" s="23"/>
      <c r="H3633" s="24"/>
      <c r="I3633" s="25"/>
    </row>
    <row r="3634" spans="7:9" x14ac:dyDescent="0.2">
      <c r="G3634" s="23"/>
      <c r="H3634" s="24"/>
      <c r="I3634" s="25"/>
    </row>
    <row r="3635" spans="7:9" x14ac:dyDescent="0.2">
      <c r="G3635" s="23"/>
      <c r="H3635" s="24"/>
      <c r="I3635" s="25"/>
    </row>
    <row r="3636" spans="7:9" x14ac:dyDescent="0.2">
      <c r="G3636" s="23"/>
      <c r="H3636" s="24"/>
      <c r="I3636" s="25"/>
    </row>
    <row r="3637" spans="7:9" x14ac:dyDescent="0.2">
      <c r="G3637" s="23"/>
      <c r="H3637" s="24"/>
      <c r="I3637" s="25"/>
    </row>
    <row r="3638" spans="7:9" x14ac:dyDescent="0.2">
      <c r="G3638" s="23"/>
      <c r="H3638" s="24"/>
      <c r="I3638" s="25"/>
    </row>
    <row r="3639" spans="7:9" x14ac:dyDescent="0.2">
      <c r="G3639" s="23"/>
      <c r="H3639" s="24"/>
      <c r="I3639" s="25"/>
    </row>
    <row r="3640" spans="7:9" x14ac:dyDescent="0.2">
      <c r="G3640" s="23"/>
      <c r="H3640" s="24"/>
      <c r="I3640" s="25"/>
    </row>
    <row r="3641" spans="7:9" x14ac:dyDescent="0.2">
      <c r="G3641" s="23"/>
      <c r="H3641" s="24"/>
      <c r="I3641" s="25"/>
    </row>
    <row r="3642" spans="7:9" x14ac:dyDescent="0.2">
      <c r="G3642" s="23"/>
      <c r="H3642" s="24"/>
      <c r="I3642" s="25"/>
    </row>
    <row r="3643" spans="7:9" x14ac:dyDescent="0.2">
      <c r="G3643" s="23"/>
      <c r="H3643" s="24"/>
      <c r="I3643" s="25"/>
    </row>
    <row r="3644" spans="7:9" x14ac:dyDescent="0.2">
      <c r="G3644" s="23"/>
      <c r="H3644" s="24"/>
      <c r="I3644" s="25"/>
    </row>
    <row r="3645" spans="7:9" x14ac:dyDescent="0.2">
      <c r="G3645" s="23"/>
      <c r="H3645" s="24"/>
      <c r="I3645" s="25"/>
    </row>
    <row r="3646" spans="7:9" x14ac:dyDescent="0.2">
      <c r="G3646" s="23"/>
      <c r="H3646" s="24"/>
      <c r="I3646" s="25"/>
    </row>
    <row r="3647" spans="7:9" x14ac:dyDescent="0.2">
      <c r="G3647" s="23"/>
      <c r="H3647" s="24"/>
      <c r="I3647" s="25"/>
    </row>
    <row r="3648" spans="7:9" x14ac:dyDescent="0.2">
      <c r="G3648" s="23"/>
      <c r="H3648" s="24"/>
      <c r="I3648" s="25"/>
    </row>
    <row r="3649" spans="7:9" x14ac:dyDescent="0.2">
      <c r="G3649" s="23"/>
      <c r="H3649" s="24"/>
      <c r="I3649" s="25"/>
    </row>
    <row r="3650" spans="7:9" x14ac:dyDescent="0.2">
      <c r="G3650" s="23"/>
      <c r="H3650" s="24"/>
      <c r="I3650" s="25"/>
    </row>
    <row r="3651" spans="7:9" x14ac:dyDescent="0.2">
      <c r="G3651" s="23"/>
      <c r="H3651" s="24"/>
      <c r="I3651" s="25"/>
    </row>
    <row r="3652" spans="7:9" x14ac:dyDescent="0.2">
      <c r="G3652" s="23"/>
      <c r="H3652" s="24"/>
      <c r="I3652" s="25"/>
    </row>
    <row r="3653" spans="7:9" x14ac:dyDescent="0.2">
      <c r="G3653" s="23"/>
      <c r="H3653" s="24"/>
      <c r="I3653" s="25"/>
    </row>
    <row r="3654" spans="7:9" x14ac:dyDescent="0.2">
      <c r="G3654" s="23"/>
      <c r="H3654" s="24"/>
      <c r="I3654" s="25"/>
    </row>
    <row r="3655" spans="7:9" x14ac:dyDescent="0.2">
      <c r="G3655" s="23"/>
      <c r="H3655" s="24"/>
      <c r="I3655" s="25"/>
    </row>
    <row r="3656" spans="7:9" x14ac:dyDescent="0.2">
      <c r="G3656" s="23"/>
      <c r="H3656" s="24"/>
      <c r="I3656" s="25"/>
    </row>
    <row r="3657" spans="7:9" x14ac:dyDescent="0.2">
      <c r="G3657" s="23"/>
      <c r="H3657" s="24"/>
      <c r="I3657" s="25"/>
    </row>
    <row r="3658" spans="7:9" x14ac:dyDescent="0.2">
      <c r="G3658" s="23"/>
      <c r="H3658" s="24"/>
      <c r="I3658" s="25"/>
    </row>
    <row r="3659" spans="7:9" x14ac:dyDescent="0.2">
      <c r="G3659" s="23"/>
      <c r="H3659" s="24"/>
      <c r="I3659" s="25"/>
    </row>
    <row r="3660" spans="7:9" x14ac:dyDescent="0.2">
      <c r="G3660" s="23"/>
      <c r="H3660" s="24"/>
      <c r="I3660" s="25"/>
    </row>
    <row r="3661" spans="7:9" x14ac:dyDescent="0.2">
      <c r="G3661" s="23"/>
      <c r="H3661" s="24"/>
      <c r="I3661" s="25"/>
    </row>
    <row r="3662" spans="7:9" x14ac:dyDescent="0.2">
      <c r="G3662" s="23"/>
      <c r="H3662" s="24"/>
      <c r="I3662" s="25"/>
    </row>
    <row r="3663" spans="7:9" x14ac:dyDescent="0.2">
      <c r="G3663" s="23"/>
      <c r="H3663" s="24"/>
      <c r="I3663" s="25"/>
    </row>
    <row r="3664" spans="7:9" x14ac:dyDescent="0.2">
      <c r="G3664" s="23"/>
      <c r="H3664" s="24"/>
      <c r="I3664" s="25"/>
    </row>
    <row r="3665" spans="7:9" x14ac:dyDescent="0.2">
      <c r="G3665" s="23"/>
      <c r="H3665" s="24"/>
      <c r="I3665" s="25"/>
    </row>
    <row r="3666" spans="7:9" x14ac:dyDescent="0.2">
      <c r="G3666" s="23"/>
      <c r="H3666" s="24"/>
      <c r="I3666" s="25"/>
    </row>
    <row r="3667" spans="7:9" x14ac:dyDescent="0.2">
      <c r="G3667" s="23"/>
      <c r="H3667" s="24"/>
      <c r="I3667" s="25"/>
    </row>
    <row r="3668" spans="7:9" x14ac:dyDescent="0.2">
      <c r="G3668" s="23"/>
      <c r="H3668" s="24"/>
      <c r="I3668" s="25"/>
    </row>
    <row r="3669" spans="7:9" x14ac:dyDescent="0.2">
      <c r="G3669" s="23"/>
      <c r="H3669" s="24"/>
      <c r="I3669" s="25"/>
    </row>
    <row r="3670" spans="7:9" x14ac:dyDescent="0.2">
      <c r="G3670" s="23"/>
      <c r="H3670" s="24"/>
      <c r="I3670" s="25"/>
    </row>
    <row r="3671" spans="7:9" x14ac:dyDescent="0.2">
      <c r="G3671" s="23"/>
      <c r="H3671" s="24"/>
      <c r="I3671" s="25"/>
    </row>
    <row r="3672" spans="7:9" x14ac:dyDescent="0.2">
      <c r="G3672" s="23"/>
      <c r="H3672" s="24"/>
      <c r="I3672" s="25"/>
    </row>
    <row r="3673" spans="7:9" x14ac:dyDescent="0.2">
      <c r="G3673" s="23"/>
      <c r="H3673" s="24"/>
      <c r="I3673" s="25"/>
    </row>
    <row r="3674" spans="7:9" x14ac:dyDescent="0.2">
      <c r="G3674" s="23"/>
      <c r="H3674" s="24"/>
      <c r="I3674" s="25"/>
    </row>
    <row r="3675" spans="7:9" x14ac:dyDescent="0.2">
      <c r="G3675" s="23"/>
      <c r="H3675" s="24"/>
      <c r="I3675" s="25"/>
    </row>
    <row r="3676" spans="7:9" x14ac:dyDescent="0.2">
      <c r="G3676" s="23"/>
      <c r="H3676" s="24"/>
      <c r="I3676" s="25"/>
    </row>
    <row r="3677" spans="7:9" x14ac:dyDescent="0.2">
      <c r="G3677" s="23"/>
      <c r="H3677" s="24"/>
      <c r="I3677" s="25"/>
    </row>
    <row r="3678" spans="7:9" x14ac:dyDescent="0.2">
      <c r="G3678" s="23"/>
      <c r="H3678" s="24"/>
      <c r="I3678" s="25"/>
    </row>
    <row r="3679" spans="7:9" x14ac:dyDescent="0.2">
      <c r="G3679" s="23"/>
      <c r="H3679" s="24"/>
      <c r="I3679" s="25"/>
    </row>
    <row r="3680" spans="7:9" x14ac:dyDescent="0.2">
      <c r="G3680" s="23"/>
      <c r="H3680" s="24"/>
      <c r="I3680" s="25"/>
    </row>
    <row r="3681" spans="7:9" x14ac:dyDescent="0.2">
      <c r="G3681" s="23"/>
      <c r="H3681" s="24"/>
      <c r="I3681" s="25"/>
    </row>
    <row r="3682" spans="7:9" x14ac:dyDescent="0.2">
      <c r="G3682" s="23"/>
      <c r="H3682" s="24"/>
      <c r="I3682" s="25"/>
    </row>
    <row r="3683" spans="7:9" x14ac:dyDescent="0.2">
      <c r="G3683" s="23"/>
      <c r="H3683" s="24"/>
      <c r="I3683" s="25"/>
    </row>
    <row r="3684" spans="7:9" x14ac:dyDescent="0.2">
      <c r="G3684" s="23"/>
      <c r="H3684" s="24"/>
      <c r="I3684" s="25"/>
    </row>
    <row r="3685" spans="7:9" x14ac:dyDescent="0.2">
      <c r="G3685" s="23"/>
      <c r="H3685" s="24"/>
      <c r="I3685" s="25"/>
    </row>
    <row r="3686" spans="7:9" x14ac:dyDescent="0.2">
      <c r="G3686" s="23"/>
      <c r="H3686" s="24"/>
      <c r="I3686" s="25"/>
    </row>
    <row r="3687" spans="7:9" x14ac:dyDescent="0.2">
      <c r="G3687" s="23"/>
      <c r="H3687" s="24"/>
      <c r="I3687" s="25"/>
    </row>
    <row r="3688" spans="7:9" x14ac:dyDescent="0.2">
      <c r="G3688" s="23"/>
      <c r="H3688" s="24"/>
      <c r="I3688" s="25"/>
    </row>
    <row r="3689" spans="7:9" x14ac:dyDescent="0.2">
      <c r="G3689" s="23"/>
      <c r="H3689" s="24"/>
      <c r="I3689" s="25"/>
    </row>
    <row r="3690" spans="7:9" x14ac:dyDescent="0.2">
      <c r="G3690" s="23"/>
      <c r="H3690" s="24"/>
      <c r="I3690" s="25"/>
    </row>
    <row r="3691" spans="7:9" x14ac:dyDescent="0.2">
      <c r="G3691" s="23"/>
      <c r="H3691" s="24"/>
      <c r="I3691" s="25"/>
    </row>
    <row r="3692" spans="7:9" x14ac:dyDescent="0.2">
      <c r="G3692" s="23"/>
      <c r="H3692" s="24"/>
      <c r="I3692" s="25"/>
    </row>
    <row r="3693" spans="7:9" x14ac:dyDescent="0.2">
      <c r="G3693" s="23"/>
      <c r="H3693" s="24"/>
      <c r="I3693" s="25"/>
    </row>
    <row r="3694" spans="7:9" x14ac:dyDescent="0.2">
      <c r="G3694" s="23"/>
      <c r="H3694" s="24"/>
      <c r="I3694" s="25"/>
    </row>
    <row r="3695" spans="7:9" x14ac:dyDescent="0.2">
      <c r="G3695" s="23"/>
      <c r="H3695" s="24"/>
      <c r="I3695" s="25"/>
    </row>
    <row r="3696" spans="7:9" x14ac:dyDescent="0.2">
      <c r="G3696" s="23"/>
      <c r="H3696" s="24"/>
      <c r="I3696" s="25"/>
    </row>
    <row r="3697" spans="7:9" x14ac:dyDescent="0.2">
      <c r="G3697" s="23"/>
      <c r="H3697" s="24"/>
      <c r="I3697" s="25"/>
    </row>
    <row r="3698" spans="7:9" x14ac:dyDescent="0.2">
      <c r="G3698" s="23"/>
      <c r="H3698" s="24"/>
      <c r="I3698" s="25"/>
    </row>
    <row r="3699" spans="7:9" x14ac:dyDescent="0.2">
      <c r="G3699" s="23"/>
      <c r="H3699" s="24"/>
      <c r="I3699" s="25"/>
    </row>
    <row r="3700" spans="7:9" x14ac:dyDescent="0.2">
      <c r="G3700" s="23"/>
      <c r="H3700" s="24"/>
      <c r="I3700" s="25"/>
    </row>
    <row r="3701" spans="7:9" x14ac:dyDescent="0.2">
      <c r="G3701" s="23"/>
      <c r="H3701" s="24"/>
      <c r="I3701" s="25"/>
    </row>
    <row r="3702" spans="7:9" x14ac:dyDescent="0.2">
      <c r="G3702" s="23"/>
      <c r="H3702" s="24"/>
      <c r="I3702" s="25"/>
    </row>
    <row r="3703" spans="7:9" x14ac:dyDescent="0.2">
      <c r="G3703" s="23"/>
      <c r="H3703" s="24"/>
      <c r="I3703" s="25"/>
    </row>
    <row r="3704" spans="7:9" x14ac:dyDescent="0.2">
      <c r="G3704" s="23"/>
      <c r="H3704" s="24"/>
      <c r="I3704" s="25"/>
    </row>
    <row r="3705" spans="7:9" x14ac:dyDescent="0.2">
      <c r="G3705" s="23"/>
      <c r="H3705" s="24"/>
      <c r="I3705" s="25"/>
    </row>
    <row r="3706" spans="7:9" x14ac:dyDescent="0.2">
      <c r="G3706" s="23"/>
      <c r="H3706" s="24"/>
      <c r="I3706" s="25"/>
    </row>
    <row r="3707" spans="7:9" x14ac:dyDescent="0.2">
      <c r="G3707" s="23"/>
      <c r="H3707" s="24"/>
      <c r="I3707" s="25"/>
    </row>
    <row r="3708" spans="7:9" x14ac:dyDescent="0.2">
      <c r="G3708" s="23"/>
      <c r="H3708" s="24"/>
      <c r="I3708" s="25"/>
    </row>
    <row r="3709" spans="7:9" x14ac:dyDescent="0.2">
      <c r="G3709" s="23"/>
      <c r="H3709" s="24"/>
      <c r="I3709" s="25"/>
    </row>
    <row r="3710" spans="7:9" x14ac:dyDescent="0.2">
      <c r="G3710" s="23"/>
      <c r="H3710" s="24"/>
      <c r="I3710" s="25"/>
    </row>
    <row r="3711" spans="7:9" x14ac:dyDescent="0.2">
      <c r="G3711" s="23"/>
      <c r="H3711" s="24"/>
      <c r="I3711" s="25"/>
    </row>
    <row r="3712" spans="7:9" x14ac:dyDescent="0.2">
      <c r="G3712" s="23"/>
      <c r="H3712" s="24"/>
      <c r="I3712" s="25"/>
    </row>
    <row r="3713" spans="7:9" x14ac:dyDescent="0.2">
      <c r="G3713" s="23"/>
      <c r="H3713" s="24"/>
      <c r="I3713" s="25"/>
    </row>
    <row r="3714" spans="7:9" x14ac:dyDescent="0.2">
      <c r="G3714" s="23"/>
      <c r="H3714" s="24"/>
      <c r="I3714" s="25"/>
    </row>
    <row r="3715" spans="7:9" x14ac:dyDescent="0.2">
      <c r="G3715" s="23"/>
      <c r="H3715" s="24"/>
      <c r="I3715" s="25"/>
    </row>
    <row r="3716" spans="7:9" x14ac:dyDescent="0.2">
      <c r="G3716" s="23"/>
      <c r="H3716" s="24"/>
      <c r="I3716" s="25"/>
    </row>
    <row r="3717" spans="7:9" x14ac:dyDescent="0.2">
      <c r="G3717" s="23"/>
      <c r="H3717" s="24"/>
      <c r="I3717" s="25"/>
    </row>
    <row r="3718" spans="7:9" x14ac:dyDescent="0.2">
      <c r="G3718" s="23"/>
      <c r="H3718" s="24"/>
      <c r="I3718" s="25"/>
    </row>
    <row r="3719" spans="7:9" x14ac:dyDescent="0.2">
      <c r="G3719" s="23"/>
      <c r="H3719" s="24"/>
      <c r="I3719" s="25"/>
    </row>
    <row r="3720" spans="7:9" x14ac:dyDescent="0.2">
      <c r="G3720" s="23"/>
      <c r="H3720" s="24"/>
      <c r="I3720" s="25"/>
    </row>
    <row r="3721" spans="7:9" x14ac:dyDescent="0.2">
      <c r="G3721" s="23"/>
      <c r="H3721" s="24"/>
      <c r="I3721" s="25"/>
    </row>
    <row r="3722" spans="7:9" x14ac:dyDescent="0.2">
      <c r="G3722" s="23"/>
      <c r="H3722" s="24"/>
      <c r="I3722" s="25"/>
    </row>
    <row r="3723" spans="7:9" x14ac:dyDescent="0.2">
      <c r="G3723" s="23"/>
      <c r="H3723" s="24"/>
      <c r="I3723" s="25"/>
    </row>
    <row r="3724" spans="7:9" x14ac:dyDescent="0.2">
      <c r="G3724" s="23"/>
      <c r="H3724" s="24"/>
      <c r="I3724" s="25"/>
    </row>
    <row r="3725" spans="7:9" x14ac:dyDescent="0.2">
      <c r="G3725" s="23"/>
      <c r="H3725" s="24"/>
      <c r="I3725" s="25"/>
    </row>
    <row r="3726" spans="7:9" x14ac:dyDescent="0.2">
      <c r="G3726" s="23"/>
      <c r="H3726" s="24"/>
      <c r="I3726" s="25"/>
    </row>
    <row r="3727" spans="7:9" x14ac:dyDescent="0.2">
      <c r="G3727" s="23"/>
      <c r="H3727" s="24"/>
      <c r="I3727" s="25"/>
    </row>
    <row r="3728" spans="7:9" x14ac:dyDescent="0.2">
      <c r="G3728" s="23"/>
      <c r="H3728" s="24"/>
      <c r="I3728" s="25"/>
    </row>
    <row r="3729" spans="7:9" x14ac:dyDescent="0.2">
      <c r="G3729" s="23"/>
      <c r="H3729" s="24"/>
      <c r="I3729" s="25"/>
    </row>
    <row r="3730" spans="7:9" x14ac:dyDescent="0.2">
      <c r="G3730" s="23"/>
      <c r="H3730" s="24"/>
      <c r="I3730" s="25"/>
    </row>
    <row r="3731" spans="7:9" x14ac:dyDescent="0.2">
      <c r="G3731" s="23"/>
      <c r="H3731" s="24"/>
      <c r="I3731" s="25"/>
    </row>
    <row r="3732" spans="7:9" x14ac:dyDescent="0.2">
      <c r="G3732" s="23"/>
      <c r="H3732" s="24"/>
      <c r="I3732" s="25"/>
    </row>
    <row r="3733" spans="7:9" x14ac:dyDescent="0.2">
      <c r="G3733" s="23"/>
      <c r="H3733" s="24"/>
      <c r="I3733" s="25"/>
    </row>
    <row r="3734" spans="7:9" x14ac:dyDescent="0.2">
      <c r="G3734" s="23"/>
      <c r="H3734" s="24"/>
      <c r="I3734" s="25"/>
    </row>
    <row r="3735" spans="7:9" x14ac:dyDescent="0.2">
      <c r="G3735" s="23"/>
      <c r="H3735" s="24"/>
      <c r="I3735" s="25"/>
    </row>
    <row r="3736" spans="7:9" x14ac:dyDescent="0.2">
      <c r="G3736" s="23"/>
      <c r="H3736" s="24"/>
      <c r="I3736" s="25"/>
    </row>
    <row r="3737" spans="7:9" x14ac:dyDescent="0.2">
      <c r="G3737" s="23"/>
      <c r="H3737" s="24"/>
      <c r="I3737" s="25"/>
    </row>
    <row r="3738" spans="7:9" x14ac:dyDescent="0.2">
      <c r="G3738" s="23"/>
      <c r="H3738" s="24"/>
      <c r="I3738" s="25"/>
    </row>
    <row r="3739" spans="7:9" x14ac:dyDescent="0.2">
      <c r="G3739" s="23"/>
      <c r="H3739" s="24"/>
      <c r="I3739" s="25"/>
    </row>
    <row r="3740" spans="7:9" x14ac:dyDescent="0.2">
      <c r="G3740" s="23"/>
      <c r="H3740" s="24"/>
      <c r="I3740" s="25"/>
    </row>
    <row r="3741" spans="7:9" x14ac:dyDescent="0.2">
      <c r="G3741" s="23"/>
      <c r="H3741" s="24"/>
      <c r="I3741" s="25"/>
    </row>
    <row r="3742" spans="7:9" x14ac:dyDescent="0.2">
      <c r="G3742" s="23"/>
      <c r="H3742" s="24"/>
      <c r="I3742" s="25"/>
    </row>
    <row r="3743" spans="7:9" x14ac:dyDescent="0.2">
      <c r="G3743" s="23"/>
      <c r="H3743" s="24"/>
      <c r="I3743" s="25"/>
    </row>
    <row r="3744" spans="7:9" x14ac:dyDescent="0.2">
      <c r="G3744" s="23"/>
      <c r="H3744" s="24"/>
      <c r="I3744" s="25"/>
    </row>
    <row r="3745" spans="7:9" x14ac:dyDescent="0.2">
      <c r="G3745" s="23"/>
      <c r="H3745" s="24"/>
      <c r="I3745" s="25"/>
    </row>
    <row r="3746" spans="7:9" x14ac:dyDescent="0.2">
      <c r="G3746" s="23"/>
      <c r="H3746" s="24"/>
      <c r="I3746" s="25"/>
    </row>
    <row r="3747" spans="7:9" x14ac:dyDescent="0.2">
      <c r="G3747" s="23"/>
      <c r="H3747" s="24"/>
      <c r="I3747" s="25"/>
    </row>
    <row r="3748" spans="7:9" x14ac:dyDescent="0.2">
      <c r="G3748" s="23"/>
      <c r="H3748" s="24"/>
      <c r="I3748" s="25"/>
    </row>
    <row r="3749" spans="7:9" x14ac:dyDescent="0.2">
      <c r="G3749" s="23"/>
      <c r="H3749" s="24"/>
      <c r="I3749" s="25"/>
    </row>
    <row r="3750" spans="7:9" x14ac:dyDescent="0.2">
      <c r="G3750" s="23"/>
      <c r="H3750" s="24"/>
      <c r="I3750" s="25"/>
    </row>
    <row r="3751" spans="7:9" x14ac:dyDescent="0.2">
      <c r="G3751" s="23"/>
      <c r="H3751" s="24"/>
      <c r="I3751" s="25"/>
    </row>
    <row r="3752" spans="7:9" x14ac:dyDescent="0.2">
      <c r="G3752" s="23"/>
      <c r="H3752" s="24"/>
      <c r="I3752" s="25"/>
    </row>
    <row r="3753" spans="7:9" x14ac:dyDescent="0.2">
      <c r="G3753" s="23"/>
      <c r="H3753" s="24"/>
      <c r="I3753" s="25"/>
    </row>
    <row r="3754" spans="7:9" x14ac:dyDescent="0.2">
      <c r="G3754" s="23"/>
      <c r="H3754" s="24"/>
      <c r="I3754" s="25"/>
    </row>
    <row r="3755" spans="7:9" x14ac:dyDescent="0.2">
      <c r="G3755" s="23"/>
      <c r="H3755" s="24"/>
      <c r="I3755" s="25"/>
    </row>
    <row r="3756" spans="7:9" x14ac:dyDescent="0.2">
      <c r="G3756" s="23"/>
      <c r="H3756" s="24"/>
      <c r="I3756" s="25"/>
    </row>
    <row r="3757" spans="7:9" x14ac:dyDescent="0.2">
      <c r="G3757" s="23"/>
      <c r="H3757" s="24"/>
      <c r="I3757" s="25"/>
    </row>
    <row r="3758" spans="7:9" x14ac:dyDescent="0.2">
      <c r="G3758" s="23"/>
      <c r="H3758" s="24"/>
      <c r="I3758" s="25"/>
    </row>
    <row r="3759" spans="7:9" x14ac:dyDescent="0.2">
      <c r="G3759" s="23"/>
      <c r="H3759" s="24"/>
      <c r="I3759" s="25"/>
    </row>
    <row r="3760" spans="7:9" x14ac:dyDescent="0.2">
      <c r="G3760" s="23"/>
      <c r="H3760" s="24"/>
      <c r="I3760" s="25"/>
    </row>
    <row r="3761" spans="7:9" x14ac:dyDescent="0.2">
      <c r="G3761" s="23"/>
      <c r="H3761" s="24"/>
      <c r="I3761" s="25"/>
    </row>
    <row r="3762" spans="7:9" x14ac:dyDescent="0.2">
      <c r="G3762" s="23"/>
      <c r="H3762" s="24"/>
      <c r="I3762" s="25"/>
    </row>
    <row r="3763" spans="7:9" x14ac:dyDescent="0.2">
      <c r="G3763" s="23"/>
      <c r="H3763" s="24"/>
      <c r="I3763" s="25"/>
    </row>
    <row r="3764" spans="7:9" x14ac:dyDescent="0.2">
      <c r="G3764" s="23"/>
      <c r="H3764" s="24"/>
      <c r="I3764" s="25"/>
    </row>
    <row r="3765" spans="7:9" x14ac:dyDescent="0.2">
      <c r="G3765" s="23"/>
      <c r="H3765" s="24"/>
      <c r="I3765" s="25"/>
    </row>
    <row r="3766" spans="7:9" x14ac:dyDescent="0.2">
      <c r="G3766" s="23"/>
      <c r="H3766" s="24"/>
      <c r="I3766" s="25"/>
    </row>
    <row r="3767" spans="7:9" x14ac:dyDescent="0.2">
      <c r="G3767" s="23"/>
      <c r="H3767" s="24"/>
      <c r="I3767" s="25"/>
    </row>
    <row r="3768" spans="7:9" x14ac:dyDescent="0.2">
      <c r="G3768" s="23"/>
      <c r="H3768" s="24"/>
      <c r="I3768" s="25"/>
    </row>
    <row r="3769" spans="7:9" x14ac:dyDescent="0.2">
      <c r="G3769" s="23"/>
      <c r="H3769" s="24"/>
      <c r="I3769" s="25"/>
    </row>
    <row r="3770" spans="7:9" x14ac:dyDescent="0.2">
      <c r="G3770" s="23"/>
      <c r="H3770" s="24"/>
      <c r="I3770" s="25"/>
    </row>
    <row r="3771" spans="7:9" x14ac:dyDescent="0.2">
      <c r="G3771" s="23"/>
      <c r="H3771" s="24"/>
      <c r="I3771" s="25"/>
    </row>
    <row r="3772" spans="7:9" x14ac:dyDescent="0.2">
      <c r="G3772" s="23"/>
      <c r="H3772" s="24"/>
      <c r="I3772" s="25"/>
    </row>
    <row r="3773" spans="7:9" x14ac:dyDescent="0.2">
      <c r="G3773" s="23"/>
      <c r="H3773" s="24"/>
      <c r="I3773" s="25"/>
    </row>
    <row r="3774" spans="7:9" x14ac:dyDescent="0.2">
      <c r="G3774" s="23"/>
      <c r="H3774" s="24"/>
      <c r="I3774" s="25"/>
    </row>
    <row r="3775" spans="7:9" x14ac:dyDescent="0.2">
      <c r="G3775" s="23"/>
      <c r="H3775" s="24"/>
      <c r="I3775" s="25"/>
    </row>
    <row r="3776" spans="7:9" x14ac:dyDescent="0.2">
      <c r="G3776" s="23"/>
      <c r="H3776" s="24"/>
      <c r="I3776" s="25"/>
    </row>
    <row r="3777" spans="7:9" x14ac:dyDescent="0.2">
      <c r="G3777" s="23"/>
      <c r="H3777" s="24"/>
      <c r="I3777" s="25"/>
    </row>
    <row r="3778" spans="7:9" x14ac:dyDescent="0.2">
      <c r="G3778" s="23"/>
      <c r="H3778" s="24"/>
      <c r="I3778" s="25"/>
    </row>
    <row r="3779" spans="7:9" x14ac:dyDescent="0.2">
      <c r="G3779" s="23"/>
      <c r="H3779" s="24"/>
      <c r="I3779" s="25"/>
    </row>
    <row r="3780" spans="7:9" x14ac:dyDescent="0.2">
      <c r="G3780" s="23"/>
      <c r="H3780" s="24"/>
      <c r="I3780" s="25"/>
    </row>
    <row r="3781" spans="7:9" x14ac:dyDescent="0.2">
      <c r="G3781" s="23"/>
      <c r="H3781" s="24"/>
      <c r="I3781" s="25"/>
    </row>
    <row r="3782" spans="7:9" x14ac:dyDescent="0.2">
      <c r="G3782" s="23"/>
      <c r="H3782" s="24"/>
      <c r="I3782" s="25"/>
    </row>
    <row r="3783" spans="7:9" x14ac:dyDescent="0.2">
      <c r="G3783" s="23"/>
      <c r="H3783" s="24"/>
      <c r="I3783" s="25"/>
    </row>
    <row r="3784" spans="7:9" x14ac:dyDescent="0.2">
      <c r="G3784" s="23"/>
      <c r="H3784" s="24"/>
      <c r="I3784" s="25"/>
    </row>
    <row r="3785" spans="7:9" x14ac:dyDescent="0.2">
      <c r="G3785" s="23"/>
      <c r="H3785" s="24"/>
      <c r="I3785" s="25"/>
    </row>
    <row r="3786" spans="7:9" x14ac:dyDescent="0.2">
      <c r="G3786" s="23"/>
      <c r="H3786" s="24"/>
      <c r="I3786" s="25"/>
    </row>
    <row r="3787" spans="7:9" x14ac:dyDescent="0.2">
      <c r="G3787" s="23"/>
      <c r="H3787" s="24"/>
      <c r="I3787" s="25"/>
    </row>
    <row r="3788" spans="7:9" x14ac:dyDescent="0.2">
      <c r="G3788" s="23"/>
      <c r="H3788" s="24"/>
      <c r="I3788" s="25"/>
    </row>
    <row r="3789" spans="7:9" x14ac:dyDescent="0.2">
      <c r="G3789" s="23"/>
      <c r="H3789" s="24"/>
      <c r="I3789" s="25"/>
    </row>
    <row r="3790" spans="7:9" x14ac:dyDescent="0.2">
      <c r="G3790" s="23"/>
      <c r="H3790" s="24"/>
      <c r="I3790" s="25"/>
    </row>
    <row r="3791" spans="7:9" x14ac:dyDescent="0.2">
      <c r="G3791" s="23"/>
      <c r="H3791" s="24"/>
      <c r="I3791" s="25"/>
    </row>
    <row r="3792" spans="7:9" x14ac:dyDescent="0.2">
      <c r="G3792" s="23"/>
      <c r="H3792" s="24"/>
      <c r="I3792" s="25"/>
    </row>
    <row r="3793" spans="7:9" x14ac:dyDescent="0.2">
      <c r="G3793" s="23"/>
      <c r="H3793" s="24"/>
      <c r="I3793" s="25"/>
    </row>
    <row r="3794" spans="7:9" x14ac:dyDescent="0.2">
      <c r="G3794" s="23"/>
      <c r="H3794" s="24"/>
      <c r="I3794" s="25"/>
    </row>
    <row r="3795" spans="7:9" x14ac:dyDescent="0.2">
      <c r="G3795" s="23"/>
      <c r="H3795" s="24"/>
      <c r="I3795" s="25"/>
    </row>
    <row r="3796" spans="7:9" x14ac:dyDescent="0.2">
      <c r="G3796" s="23"/>
      <c r="H3796" s="24"/>
      <c r="I3796" s="25"/>
    </row>
    <row r="3797" spans="7:9" x14ac:dyDescent="0.2">
      <c r="G3797" s="23"/>
      <c r="H3797" s="24"/>
      <c r="I3797" s="25"/>
    </row>
    <row r="3798" spans="7:9" x14ac:dyDescent="0.2">
      <c r="G3798" s="23"/>
      <c r="H3798" s="24"/>
      <c r="I3798" s="25"/>
    </row>
    <row r="3799" spans="7:9" x14ac:dyDescent="0.2">
      <c r="G3799" s="23"/>
      <c r="H3799" s="24"/>
      <c r="I3799" s="25"/>
    </row>
    <row r="3800" spans="7:9" x14ac:dyDescent="0.2">
      <c r="G3800" s="23"/>
      <c r="H3800" s="24"/>
      <c r="I3800" s="25"/>
    </row>
    <row r="3801" spans="7:9" x14ac:dyDescent="0.2">
      <c r="G3801" s="23"/>
      <c r="H3801" s="24"/>
      <c r="I3801" s="25"/>
    </row>
    <row r="3802" spans="7:9" x14ac:dyDescent="0.2">
      <c r="G3802" s="23"/>
      <c r="H3802" s="24"/>
      <c r="I3802" s="25"/>
    </row>
    <row r="3803" spans="7:9" x14ac:dyDescent="0.2">
      <c r="G3803" s="23"/>
      <c r="H3803" s="24"/>
      <c r="I3803" s="25"/>
    </row>
    <row r="3804" spans="7:9" x14ac:dyDescent="0.2">
      <c r="G3804" s="23"/>
      <c r="H3804" s="24"/>
      <c r="I3804" s="25"/>
    </row>
    <row r="3805" spans="7:9" x14ac:dyDescent="0.2">
      <c r="G3805" s="23"/>
      <c r="H3805" s="24"/>
      <c r="I3805" s="25"/>
    </row>
    <row r="3806" spans="7:9" x14ac:dyDescent="0.2">
      <c r="G3806" s="23"/>
      <c r="H3806" s="24"/>
      <c r="I3806" s="25"/>
    </row>
    <row r="3807" spans="7:9" x14ac:dyDescent="0.2">
      <c r="G3807" s="23"/>
      <c r="H3807" s="24"/>
      <c r="I3807" s="25"/>
    </row>
    <row r="3808" spans="7:9" x14ac:dyDescent="0.2">
      <c r="G3808" s="23"/>
      <c r="H3808" s="24"/>
      <c r="I3808" s="25"/>
    </row>
    <row r="3809" spans="7:9" x14ac:dyDescent="0.2">
      <c r="G3809" s="23"/>
      <c r="H3809" s="24"/>
      <c r="I3809" s="25"/>
    </row>
    <row r="3810" spans="7:9" x14ac:dyDescent="0.2">
      <c r="G3810" s="23"/>
      <c r="H3810" s="24"/>
      <c r="I3810" s="25"/>
    </row>
    <row r="3811" spans="7:9" x14ac:dyDescent="0.2">
      <c r="G3811" s="23"/>
      <c r="H3811" s="24"/>
      <c r="I3811" s="25"/>
    </row>
    <row r="3812" spans="7:9" x14ac:dyDescent="0.2">
      <c r="G3812" s="23"/>
      <c r="H3812" s="24"/>
      <c r="I3812" s="25"/>
    </row>
    <row r="3813" spans="7:9" x14ac:dyDescent="0.2">
      <c r="G3813" s="23"/>
      <c r="H3813" s="24"/>
      <c r="I3813" s="25"/>
    </row>
    <row r="3814" spans="7:9" x14ac:dyDescent="0.2">
      <c r="G3814" s="23"/>
      <c r="H3814" s="24"/>
      <c r="I3814" s="25"/>
    </row>
    <row r="3815" spans="7:9" x14ac:dyDescent="0.2">
      <c r="G3815" s="23"/>
      <c r="H3815" s="24"/>
      <c r="I3815" s="25"/>
    </row>
    <row r="3816" spans="7:9" x14ac:dyDescent="0.2">
      <c r="G3816" s="23"/>
      <c r="H3816" s="24"/>
      <c r="I3816" s="25"/>
    </row>
    <row r="3817" spans="7:9" x14ac:dyDescent="0.2">
      <c r="G3817" s="23"/>
      <c r="H3817" s="24"/>
      <c r="I3817" s="25"/>
    </row>
    <row r="3818" spans="7:9" x14ac:dyDescent="0.2">
      <c r="G3818" s="23"/>
      <c r="H3818" s="24"/>
      <c r="I3818" s="25"/>
    </row>
    <row r="3819" spans="7:9" x14ac:dyDescent="0.2">
      <c r="G3819" s="23"/>
      <c r="H3819" s="24"/>
      <c r="I3819" s="25"/>
    </row>
    <row r="3820" spans="7:9" x14ac:dyDescent="0.2">
      <c r="G3820" s="23"/>
      <c r="H3820" s="24"/>
      <c r="I3820" s="25"/>
    </row>
    <row r="3821" spans="7:9" x14ac:dyDescent="0.2">
      <c r="G3821" s="23"/>
      <c r="H3821" s="24"/>
      <c r="I3821" s="25"/>
    </row>
    <row r="3822" spans="7:9" x14ac:dyDescent="0.2">
      <c r="G3822" s="23"/>
      <c r="H3822" s="24"/>
      <c r="I3822" s="25"/>
    </row>
    <row r="3823" spans="7:9" x14ac:dyDescent="0.2">
      <c r="G3823" s="23"/>
      <c r="H3823" s="24"/>
      <c r="I3823" s="25"/>
    </row>
    <row r="3824" spans="7:9" x14ac:dyDescent="0.2">
      <c r="G3824" s="23"/>
      <c r="H3824" s="24"/>
      <c r="I3824" s="25"/>
    </row>
    <row r="3825" spans="7:9" x14ac:dyDescent="0.2">
      <c r="G3825" s="23"/>
      <c r="H3825" s="24"/>
      <c r="I3825" s="25"/>
    </row>
    <row r="3826" spans="7:9" x14ac:dyDescent="0.2">
      <c r="G3826" s="23"/>
      <c r="H3826" s="24"/>
      <c r="I3826" s="25"/>
    </row>
    <row r="3827" spans="7:9" x14ac:dyDescent="0.2">
      <c r="G3827" s="23"/>
      <c r="H3827" s="24"/>
      <c r="I3827" s="25"/>
    </row>
    <row r="3828" spans="7:9" x14ac:dyDescent="0.2">
      <c r="G3828" s="23"/>
      <c r="H3828" s="24"/>
      <c r="I3828" s="25"/>
    </row>
    <row r="3829" spans="7:9" x14ac:dyDescent="0.2">
      <c r="G3829" s="23"/>
      <c r="H3829" s="24"/>
      <c r="I3829" s="25"/>
    </row>
    <row r="3830" spans="7:9" x14ac:dyDescent="0.2">
      <c r="G3830" s="23"/>
      <c r="H3830" s="24"/>
      <c r="I3830" s="25"/>
    </row>
    <row r="3831" spans="7:9" x14ac:dyDescent="0.2">
      <c r="G3831" s="23"/>
      <c r="H3831" s="24"/>
      <c r="I3831" s="25"/>
    </row>
    <row r="3832" spans="7:9" x14ac:dyDescent="0.2">
      <c r="G3832" s="23"/>
      <c r="H3832" s="24"/>
      <c r="I3832" s="25"/>
    </row>
    <row r="3833" spans="7:9" x14ac:dyDescent="0.2">
      <c r="G3833" s="23"/>
      <c r="H3833" s="24"/>
      <c r="I3833" s="25"/>
    </row>
    <row r="3834" spans="7:9" x14ac:dyDescent="0.2">
      <c r="G3834" s="23"/>
      <c r="H3834" s="24"/>
      <c r="I3834" s="25"/>
    </row>
    <row r="3835" spans="7:9" x14ac:dyDescent="0.2">
      <c r="G3835" s="23"/>
      <c r="H3835" s="24"/>
      <c r="I3835" s="25"/>
    </row>
    <row r="3836" spans="7:9" x14ac:dyDescent="0.2">
      <c r="G3836" s="23"/>
      <c r="H3836" s="24"/>
      <c r="I3836" s="25"/>
    </row>
    <row r="3837" spans="7:9" x14ac:dyDescent="0.2">
      <c r="G3837" s="23"/>
      <c r="H3837" s="24"/>
      <c r="I3837" s="25"/>
    </row>
    <row r="3838" spans="7:9" x14ac:dyDescent="0.2">
      <c r="G3838" s="23"/>
      <c r="H3838" s="24"/>
      <c r="I3838" s="25"/>
    </row>
    <row r="3839" spans="7:9" x14ac:dyDescent="0.2">
      <c r="G3839" s="23"/>
      <c r="H3839" s="24"/>
      <c r="I3839" s="25"/>
    </row>
    <row r="3840" spans="7:9" x14ac:dyDescent="0.2">
      <c r="G3840" s="23"/>
      <c r="H3840" s="24"/>
      <c r="I3840" s="25"/>
    </row>
    <row r="3841" spans="7:9" x14ac:dyDescent="0.2">
      <c r="G3841" s="23"/>
      <c r="H3841" s="24"/>
      <c r="I3841" s="25"/>
    </row>
    <row r="3842" spans="7:9" x14ac:dyDescent="0.2">
      <c r="G3842" s="23"/>
      <c r="H3842" s="24"/>
      <c r="I3842" s="25"/>
    </row>
    <row r="3843" spans="7:9" x14ac:dyDescent="0.2">
      <c r="G3843" s="23"/>
      <c r="H3843" s="24"/>
      <c r="I3843" s="25"/>
    </row>
    <row r="3844" spans="7:9" x14ac:dyDescent="0.2">
      <c r="G3844" s="23"/>
      <c r="H3844" s="24"/>
      <c r="I3844" s="25"/>
    </row>
    <row r="3845" spans="7:9" x14ac:dyDescent="0.2">
      <c r="G3845" s="23"/>
      <c r="H3845" s="24"/>
      <c r="I3845" s="25"/>
    </row>
    <row r="3846" spans="7:9" x14ac:dyDescent="0.2">
      <c r="G3846" s="23"/>
      <c r="H3846" s="24"/>
      <c r="I3846" s="25"/>
    </row>
    <row r="3847" spans="7:9" x14ac:dyDescent="0.2">
      <c r="G3847" s="23"/>
      <c r="H3847" s="24"/>
      <c r="I3847" s="25"/>
    </row>
    <row r="3848" spans="7:9" x14ac:dyDescent="0.2">
      <c r="G3848" s="23"/>
      <c r="H3848" s="24"/>
      <c r="I3848" s="25"/>
    </row>
    <row r="3849" spans="7:9" x14ac:dyDescent="0.2">
      <c r="G3849" s="23"/>
      <c r="H3849" s="24"/>
      <c r="I3849" s="25"/>
    </row>
    <row r="3850" spans="7:9" x14ac:dyDescent="0.2">
      <c r="G3850" s="23"/>
      <c r="H3850" s="24"/>
      <c r="I3850" s="25"/>
    </row>
    <row r="3851" spans="7:9" x14ac:dyDescent="0.2">
      <c r="G3851" s="23"/>
      <c r="H3851" s="24"/>
      <c r="I3851" s="25"/>
    </row>
    <row r="3852" spans="7:9" x14ac:dyDescent="0.2">
      <c r="G3852" s="23"/>
      <c r="H3852" s="24"/>
      <c r="I3852" s="25"/>
    </row>
    <row r="3853" spans="7:9" x14ac:dyDescent="0.2">
      <c r="G3853" s="23"/>
      <c r="H3853" s="24"/>
      <c r="I3853" s="25"/>
    </row>
    <row r="3854" spans="7:9" x14ac:dyDescent="0.2">
      <c r="G3854" s="23"/>
      <c r="H3854" s="24"/>
      <c r="I3854" s="25"/>
    </row>
    <row r="3855" spans="7:9" x14ac:dyDescent="0.2">
      <c r="G3855" s="23"/>
      <c r="H3855" s="24"/>
      <c r="I3855" s="25"/>
    </row>
    <row r="3856" spans="7:9" x14ac:dyDescent="0.2">
      <c r="G3856" s="23"/>
      <c r="H3856" s="24"/>
      <c r="I3856" s="25"/>
    </row>
    <row r="3857" spans="7:9" x14ac:dyDescent="0.2">
      <c r="G3857" s="23"/>
      <c r="H3857" s="24"/>
      <c r="I3857" s="25"/>
    </row>
    <row r="3858" spans="7:9" x14ac:dyDescent="0.2">
      <c r="G3858" s="23"/>
      <c r="H3858" s="24"/>
      <c r="I3858" s="25"/>
    </row>
    <row r="3859" spans="7:9" x14ac:dyDescent="0.2">
      <c r="G3859" s="23"/>
      <c r="H3859" s="24"/>
      <c r="I3859" s="25"/>
    </row>
    <row r="3860" spans="7:9" x14ac:dyDescent="0.2">
      <c r="G3860" s="23"/>
      <c r="H3860" s="24"/>
      <c r="I3860" s="25"/>
    </row>
    <row r="3861" spans="7:9" x14ac:dyDescent="0.2">
      <c r="G3861" s="23"/>
      <c r="H3861" s="24"/>
      <c r="I3861" s="25"/>
    </row>
    <row r="3862" spans="7:9" x14ac:dyDescent="0.2">
      <c r="G3862" s="23"/>
      <c r="H3862" s="24"/>
      <c r="I3862" s="25"/>
    </row>
    <row r="3863" spans="7:9" x14ac:dyDescent="0.2">
      <c r="G3863" s="23"/>
      <c r="H3863" s="24"/>
      <c r="I3863" s="25"/>
    </row>
    <row r="3864" spans="7:9" x14ac:dyDescent="0.2">
      <c r="G3864" s="23"/>
      <c r="H3864" s="24"/>
      <c r="I3864" s="25"/>
    </row>
    <row r="3865" spans="7:9" x14ac:dyDescent="0.2">
      <c r="G3865" s="23"/>
      <c r="H3865" s="24"/>
      <c r="I3865" s="25"/>
    </row>
    <row r="3866" spans="7:9" x14ac:dyDescent="0.2">
      <c r="G3866" s="23"/>
      <c r="H3866" s="24"/>
      <c r="I3866" s="25"/>
    </row>
    <row r="3867" spans="7:9" x14ac:dyDescent="0.2">
      <c r="G3867" s="23"/>
      <c r="H3867" s="24"/>
      <c r="I3867" s="25"/>
    </row>
    <row r="3868" spans="7:9" x14ac:dyDescent="0.2">
      <c r="G3868" s="23"/>
      <c r="H3868" s="24"/>
      <c r="I3868" s="25"/>
    </row>
    <row r="3869" spans="7:9" x14ac:dyDescent="0.2">
      <c r="G3869" s="23"/>
      <c r="H3869" s="24"/>
      <c r="I3869" s="25"/>
    </row>
    <row r="3870" spans="7:9" x14ac:dyDescent="0.2">
      <c r="G3870" s="23"/>
      <c r="H3870" s="24"/>
      <c r="I3870" s="25"/>
    </row>
    <row r="3871" spans="7:9" x14ac:dyDescent="0.2">
      <c r="G3871" s="23"/>
      <c r="H3871" s="24"/>
      <c r="I3871" s="25"/>
    </row>
    <row r="3872" spans="7:9" x14ac:dyDescent="0.2">
      <c r="G3872" s="23"/>
      <c r="H3872" s="24"/>
      <c r="I3872" s="25"/>
    </row>
    <row r="3873" spans="7:9" x14ac:dyDescent="0.2">
      <c r="G3873" s="23"/>
      <c r="H3873" s="24"/>
      <c r="I3873" s="25"/>
    </row>
    <row r="3874" spans="7:9" x14ac:dyDescent="0.2">
      <c r="G3874" s="23"/>
      <c r="H3874" s="24"/>
      <c r="I3874" s="25"/>
    </row>
    <row r="3875" spans="7:9" x14ac:dyDescent="0.2">
      <c r="G3875" s="23"/>
      <c r="H3875" s="24"/>
      <c r="I3875" s="25"/>
    </row>
    <row r="3876" spans="7:9" x14ac:dyDescent="0.2">
      <c r="G3876" s="23"/>
      <c r="H3876" s="24"/>
      <c r="I3876" s="25"/>
    </row>
    <row r="3877" spans="7:9" x14ac:dyDescent="0.2">
      <c r="G3877" s="23"/>
      <c r="H3877" s="24"/>
      <c r="I3877" s="25"/>
    </row>
    <row r="3878" spans="7:9" x14ac:dyDescent="0.2">
      <c r="G3878" s="23"/>
      <c r="H3878" s="24"/>
      <c r="I3878" s="25"/>
    </row>
    <row r="3879" spans="7:9" x14ac:dyDescent="0.2">
      <c r="G3879" s="23"/>
      <c r="H3879" s="24"/>
      <c r="I3879" s="25"/>
    </row>
    <row r="3880" spans="7:9" x14ac:dyDescent="0.2">
      <c r="G3880" s="23"/>
      <c r="H3880" s="24"/>
      <c r="I3880" s="25"/>
    </row>
    <row r="3881" spans="7:9" x14ac:dyDescent="0.2">
      <c r="G3881" s="23"/>
      <c r="H3881" s="24"/>
      <c r="I3881" s="25"/>
    </row>
    <row r="3882" spans="7:9" x14ac:dyDescent="0.2">
      <c r="G3882" s="23"/>
      <c r="H3882" s="24"/>
      <c r="I3882" s="25"/>
    </row>
    <row r="3883" spans="7:9" x14ac:dyDescent="0.2">
      <c r="G3883" s="23"/>
      <c r="H3883" s="24"/>
      <c r="I3883" s="25"/>
    </row>
    <row r="3884" spans="7:9" x14ac:dyDescent="0.2">
      <c r="G3884" s="23"/>
      <c r="H3884" s="24"/>
      <c r="I3884" s="25"/>
    </row>
    <row r="3885" spans="7:9" x14ac:dyDescent="0.2">
      <c r="G3885" s="23"/>
      <c r="H3885" s="24"/>
      <c r="I3885" s="25"/>
    </row>
    <row r="3886" spans="7:9" x14ac:dyDescent="0.2">
      <c r="G3886" s="23"/>
      <c r="H3886" s="24"/>
      <c r="I3886" s="25"/>
    </row>
    <row r="3887" spans="7:9" x14ac:dyDescent="0.2">
      <c r="G3887" s="23"/>
      <c r="H3887" s="24"/>
      <c r="I3887" s="25"/>
    </row>
    <row r="3888" spans="7:9" x14ac:dyDescent="0.2">
      <c r="G3888" s="23"/>
      <c r="H3888" s="24"/>
      <c r="I3888" s="25"/>
    </row>
    <row r="3889" spans="7:9" x14ac:dyDescent="0.2">
      <c r="G3889" s="23"/>
      <c r="H3889" s="24"/>
      <c r="I3889" s="25"/>
    </row>
    <row r="3890" spans="7:9" x14ac:dyDescent="0.2">
      <c r="G3890" s="23"/>
      <c r="H3890" s="24"/>
      <c r="I3890" s="25"/>
    </row>
    <row r="3891" spans="7:9" x14ac:dyDescent="0.2">
      <c r="G3891" s="23"/>
      <c r="H3891" s="24"/>
      <c r="I3891" s="25"/>
    </row>
    <row r="3892" spans="7:9" x14ac:dyDescent="0.2">
      <c r="G3892" s="23"/>
      <c r="H3892" s="24"/>
      <c r="I3892" s="25"/>
    </row>
    <row r="3893" spans="7:9" x14ac:dyDescent="0.2">
      <c r="G3893" s="23"/>
      <c r="H3893" s="24"/>
      <c r="I3893" s="25"/>
    </row>
    <row r="3894" spans="7:9" x14ac:dyDescent="0.2">
      <c r="G3894" s="23"/>
      <c r="H3894" s="24"/>
      <c r="I3894" s="25"/>
    </row>
    <row r="3895" spans="7:9" x14ac:dyDescent="0.2">
      <c r="G3895" s="23"/>
      <c r="H3895" s="24"/>
      <c r="I3895" s="25"/>
    </row>
    <row r="3896" spans="7:9" x14ac:dyDescent="0.2">
      <c r="G3896" s="23"/>
      <c r="H3896" s="24"/>
      <c r="I3896" s="25"/>
    </row>
    <row r="3897" spans="7:9" x14ac:dyDescent="0.2">
      <c r="G3897" s="23"/>
      <c r="H3897" s="24"/>
      <c r="I3897" s="25"/>
    </row>
    <row r="3898" spans="7:9" x14ac:dyDescent="0.2">
      <c r="G3898" s="23"/>
      <c r="H3898" s="24"/>
      <c r="I3898" s="25"/>
    </row>
    <row r="3899" spans="7:9" x14ac:dyDescent="0.2">
      <c r="G3899" s="23"/>
      <c r="H3899" s="24"/>
      <c r="I3899" s="25"/>
    </row>
    <row r="3900" spans="7:9" x14ac:dyDescent="0.2">
      <c r="G3900" s="23"/>
      <c r="H3900" s="24"/>
      <c r="I3900" s="25"/>
    </row>
    <row r="3901" spans="7:9" x14ac:dyDescent="0.2">
      <c r="G3901" s="23"/>
      <c r="H3901" s="24"/>
      <c r="I3901" s="25"/>
    </row>
    <row r="3902" spans="7:9" x14ac:dyDescent="0.2">
      <c r="G3902" s="23"/>
      <c r="H3902" s="24"/>
      <c r="I3902" s="25"/>
    </row>
    <row r="3903" spans="7:9" x14ac:dyDescent="0.2">
      <c r="G3903" s="23"/>
      <c r="H3903" s="24"/>
      <c r="I3903" s="25"/>
    </row>
    <row r="3904" spans="7:9" x14ac:dyDescent="0.2">
      <c r="G3904" s="23"/>
      <c r="H3904" s="24"/>
      <c r="I3904" s="25"/>
    </row>
    <row r="3905" spans="7:9" x14ac:dyDescent="0.2">
      <c r="G3905" s="23"/>
      <c r="H3905" s="24"/>
      <c r="I3905" s="25"/>
    </row>
    <row r="3906" spans="7:9" x14ac:dyDescent="0.2">
      <c r="G3906" s="23"/>
      <c r="H3906" s="24"/>
      <c r="I3906" s="25"/>
    </row>
    <row r="3907" spans="7:9" x14ac:dyDescent="0.2">
      <c r="G3907" s="23"/>
      <c r="H3907" s="24"/>
      <c r="I3907" s="25"/>
    </row>
    <row r="3908" spans="7:9" x14ac:dyDescent="0.2">
      <c r="G3908" s="23"/>
      <c r="H3908" s="24"/>
      <c r="I3908" s="25"/>
    </row>
    <row r="3909" spans="7:9" x14ac:dyDescent="0.2">
      <c r="G3909" s="23"/>
      <c r="H3909" s="24"/>
      <c r="I3909" s="25"/>
    </row>
    <row r="3910" spans="7:9" x14ac:dyDescent="0.2">
      <c r="G3910" s="23"/>
      <c r="H3910" s="24"/>
      <c r="I3910" s="25"/>
    </row>
    <row r="3911" spans="7:9" x14ac:dyDescent="0.2">
      <c r="G3911" s="23"/>
      <c r="H3911" s="24"/>
      <c r="I3911" s="25"/>
    </row>
    <row r="3912" spans="7:9" x14ac:dyDescent="0.2">
      <c r="G3912" s="23"/>
      <c r="H3912" s="24"/>
      <c r="I3912" s="25"/>
    </row>
    <row r="3913" spans="7:9" x14ac:dyDescent="0.2">
      <c r="G3913" s="23"/>
      <c r="H3913" s="24"/>
      <c r="I3913" s="25"/>
    </row>
    <row r="3914" spans="7:9" x14ac:dyDescent="0.2">
      <c r="G3914" s="23"/>
      <c r="H3914" s="24"/>
      <c r="I3914" s="25"/>
    </row>
    <row r="3915" spans="7:9" x14ac:dyDescent="0.2">
      <c r="G3915" s="23"/>
      <c r="H3915" s="24"/>
      <c r="I3915" s="25"/>
    </row>
    <row r="3916" spans="7:9" x14ac:dyDescent="0.2">
      <c r="G3916" s="23"/>
      <c r="H3916" s="24"/>
      <c r="I3916" s="25"/>
    </row>
    <row r="3917" spans="7:9" x14ac:dyDescent="0.2">
      <c r="G3917" s="23"/>
      <c r="H3917" s="24"/>
      <c r="I3917" s="25"/>
    </row>
    <row r="3918" spans="7:9" x14ac:dyDescent="0.2">
      <c r="G3918" s="23"/>
      <c r="H3918" s="24"/>
      <c r="I3918" s="25"/>
    </row>
    <row r="3919" spans="7:9" x14ac:dyDescent="0.2">
      <c r="G3919" s="23"/>
      <c r="H3919" s="24"/>
      <c r="I3919" s="25"/>
    </row>
    <row r="3920" spans="7:9" x14ac:dyDescent="0.2">
      <c r="G3920" s="23"/>
      <c r="H3920" s="24"/>
      <c r="I3920" s="25"/>
    </row>
    <row r="3921" spans="7:9" x14ac:dyDescent="0.2">
      <c r="G3921" s="23"/>
      <c r="H3921" s="24"/>
      <c r="I3921" s="25"/>
    </row>
    <row r="3922" spans="7:9" x14ac:dyDescent="0.2">
      <c r="G3922" s="23"/>
      <c r="H3922" s="24"/>
      <c r="I3922" s="25"/>
    </row>
    <row r="3923" spans="7:9" x14ac:dyDescent="0.2">
      <c r="G3923" s="23"/>
      <c r="H3923" s="24"/>
      <c r="I3923" s="25"/>
    </row>
    <row r="3924" spans="7:9" x14ac:dyDescent="0.2">
      <c r="G3924" s="23"/>
      <c r="H3924" s="24"/>
      <c r="I3924" s="25"/>
    </row>
    <row r="3925" spans="7:9" x14ac:dyDescent="0.2">
      <c r="G3925" s="23"/>
      <c r="H3925" s="24"/>
      <c r="I3925" s="25"/>
    </row>
    <row r="3926" spans="7:9" x14ac:dyDescent="0.2">
      <c r="G3926" s="23"/>
      <c r="H3926" s="24"/>
      <c r="I3926" s="25"/>
    </row>
    <row r="3927" spans="7:9" x14ac:dyDescent="0.2">
      <c r="G3927" s="23"/>
      <c r="H3927" s="24"/>
      <c r="I3927" s="25"/>
    </row>
    <row r="3928" spans="7:9" x14ac:dyDescent="0.2">
      <c r="G3928" s="23"/>
      <c r="H3928" s="24"/>
      <c r="I3928" s="25"/>
    </row>
    <row r="3929" spans="7:9" x14ac:dyDescent="0.2">
      <c r="G3929" s="23"/>
      <c r="H3929" s="24"/>
      <c r="I3929" s="25"/>
    </row>
    <row r="3930" spans="7:9" x14ac:dyDescent="0.2">
      <c r="G3930" s="23"/>
      <c r="H3930" s="24"/>
      <c r="I3930" s="25"/>
    </row>
    <row r="3931" spans="7:9" x14ac:dyDescent="0.2">
      <c r="G3931" s="23"/>
      <c r="H3931" s="24"/>
      <c r="I3931" s="25"/>
    </row>
    <row r="3932" spans="7:9" x14ac:dyDescent="0.2">
      <c r="G3932" s="23"/>
      <c r="H3932" s="24"/>
      <c r="I3932" s="25"/>
    </row>
    <row r="3933" spans="7:9" x14ac:dyDescent="0.2">
      <c r="G3933" s="23"/>
      <c r="H3933" s="24"/>
      <c r="I3933" s="25"/>
    </row>
    <row r="3934" spans="7:9" x14ac:dyDescent="0.2">
      <c r="G3934" s="23"/>
      <c r="H3934" s="24"/>
      <c r="I3934" s="25"/>
    </row>
    <row r="3935" spans="7:9" x14ac:dyDescent="0.2">
      <c r="G3935" s="23"/>
      <c r="H3935" s="24"/>
      <c r="I3935" s="25"/>
    </row>
    <row r="3936" spans="7:9" x14ac:dyDescent="0.2">
      <c r="G3936" s="23"/>
      <c r="H3936" s="24"/>
      <c r="I3936" s="25"/>
    </row>
    <row r="3937" spans="7:9" x14ac:dyDescent="0.2">
      <c r="G3937" s="23"/>
      <c r="H3937" s="24"/>
      <c r="I3937" s="25"/>
    </row>
    <row r="3938" spans="7:9" x14ac:dyDescent="0.2">
      <c r="G3938" s="23"/>
      <c r="H3938" s="24"/>
      <c r="I3938" s="25"/>
    </row>
    <row r="3939" spans="7:9" x14ac:dyDescent="0.2">
      <c r="G3939" s="23"/>
      <c r="H3939" s="24"/>
      <c r="I3939" s="25"/>
    </row>
    <row r="3940" spans="7:9" x14ac:dyDescent="0.2">
      <c r="G3940" s="23"/>
      <c r="H3940" s="24"/>
      <c r="I3940" s="25"/>
    </row>
    <row r="3941" spans="7:9" x14ac:dyDescent="0.2">
      <c r="G3941" s="23"/>
      <c r="H3941" s="24"/>
      <c r="I3941" s="25"/>
    </row>
    <row r="3942" spans="7:9" x14ac:dyDescent="0.2">
      <c r="G3942" s="23"/>
      <c r="H3942" s="24"/>
      <c r="I3942" s="25"/>
    </row>
    <row r="3943" spans="7:9" x14ac:dyDescent="0.2">
      <c r="G3943" s="23"/>
      <c r="H3943" s="24"/>
      <c r="I3943" s="25"/>
    </row>
    <row r="3944" spans="7:9" x14ac:dyDescent="0.2">
      <c r="G3944" s="23"/>
      <c r="H3944" s="24"/>
      <c r="I3944" s="25"/>
    </row>
    <row r="3945" spans="7:9" x14ac:dyDescent="0.2">
      <c r="G3945" s="23"/>
      <c r="H3945" s="24"/>
      <c r="I3945" s="25"/>
    </row>
    <row r="3946" spans="7:9" x14ac:dyDescent="0.2">
      <c r="G3946" s="23"/>
      <c r="H3946" s="24"/>
      <c r="I3946" s="25"/>
    </row>
    <row r="3947" spans="7:9" x14ac:dyDescent="0.2">
      <c r="G3947" s="23"/>
      <c r="H3947" s="24"/>
      <c r="I3947" s="25"/>
    </row>
    <row r="3948" spans="7:9" x14ac:dyDescent="0.2">
      <c r="G3948" s="23"/>
      <c r="H3948" s="24"/>
      <c r="I3948" s="25"/>
    </row>
    <row r="3949" spans="7:9" x14ac:dyDescent="0.2">
      <c r="G3949" s="23"/>
      <c r="H3949" s="24"/>
      <c r="I3949" s="25"/>
    </row>
    <row r="3950" spans="7:9" x14ac:dyDescent="0.2">
      <c r="G3950" s="23"/>
      <c r="H3950" s="24"/>
      <c r="I3950" s="25"/>
    </row>
    <row r="3951" spans="7:9" x14ac:dyDescent="0.2">
      <c r="G3951" s="23"/>
      <c r="H3951" s="24"/>
      <c r="I3951" s="25"/>
    </row>
    <row r="3952" spans="7:9" x14ac:dyDescent="0.2">
      <c r="G3952" s="23"/>
      <c r="H3952" s="24"/>
      <c r="I3952" s="25"/>
    </row>
    <row r="3953" spans="7:9" x14ac:dyDescent="0.2">
      <c r="G3953" s="23"/>
      <c r="H3953" s="24"/>
      <c r="I3953" s="25"/>
    </row>
    <row r="3954" spans="7:9" x14ac:dyDescent="0.2">
      <c r="G3954" s="23"/>
      <c r="H3954" s="24"/>
      <c r="I3954" s="25"/>
    </row>
    <row r="3955" spans="7:9" x14ac:dyDescent="0.2">
      <c r="G3955" s="23"/>
      <c r="H3955" s="24"/>
      <c r="I3955" s="25"/>
    </row>
    <row r="3956" spans="7:9" x14ac:dyDescent="0.2">
      <c r="G3956" s="23"/>
      <c r="H3956" s="24"/>
      <c r="I3956" s="25"/>
    </row>
    <row r="3957" spans="7:9" x14ac:dyDescent="0.2">
      <c r="G3957" s="23"/>
      <c r="H3957" s="24"/>
      <c r="I3957" s="25"/>
    </row>
    <row r="3958" spans="7:9" x14ac:dyDescent="0.2">
      <c r="G3958" s="23"/>
      <c r="H3958" s="24"/>
      <c r="I3958" s="25"/>
    </row>
    <row r="3959" spans="7:9" x14ac:dyDescent="0.2">
      <c r="G3959" s="23"/>
      <c r="H3959" s="24"/>
      <c r="I3959" s="25"/>
    </row>
    <row r="3960" spans="7:9" x14ac:dyDescent="0.2">
      <c r="G3960" s="23"/>
      <c r="H3960" s="24"/>
      <c r="I3960" s="25"/>
    </row>
    <row r="3961" spans="7:9" x14ac:dyDescent="0.2">
      <c r="G3961" s="23"/>
      <c r="H3961" s="24"/>
      <c r="I3961" s="25"/>
    </row>
    <row r="3962" spans="7:9" x14ac:dyDescent="0.2">
      <c r="G3962" s="23"/>
      <c r="H3962" s="24"/>
      <c r="I3962" s="25"/>
    </row>
    <row r="3963" spans="7:9" x14ac:dyDescent="0.2">
      <c r="G3963" s="23"/>
      <c r="H3963" s="24"/>
      <c r="I3963" s="25"/>
    </row>
    <row r="3964" spans="7:9" x14ac:dyDescent="0.2">
      <c r="G3964" s="23"/>
      <c r="H3964" s="24"/>
      <c r="I3964" s="25"/>
    </row>
    <row r="3965" spans="7:9" x14ac:dyDescent="0.2">
      <c r="G3965" s="23"/>
      <c r="H3965" s="24"/>
      <c r="I3965" s="25"/>
    </row>
    <row r="3966" spans="7:9" x14ac:dyDescent="0.2">
      <c r="G3966" s="23"/>
      <c r="H3966" s="24"/>
      <c r="I3966" s="25"/>
    </row>
    <row r="3967" spans="7:9" x14ac:dyDescent="0.2">
      <c r="G3967" s="23"/>
      <c r="H3967" s="24"/>
      <c r="I3967" s="25"/>
    </row>
    <row r="3968" spans="7:9" x14ac:dyDescent="0.2">
      <c r="G3968" s="23"/>
      <c r="H3968" s="24"/>
      <c r="I3968" s="25"/>
    </row>
    <row r="3969" spans="7:9" x14ac:dyDescent="0.2">
      <c r="G3969" s="23"/>
      <c r="H3969" s="24"/>
      <c r="I3969" s="25"/>
    </row>
    <row r="3970" spans="7:9" x14ac:dyDescent="0.2">
      <c r="G3970" s="23"/>
      <c r="H3970" s="24"/>
      <c r="I3970" s="25"/>
    </row>
    <row r="3971" spans="7:9" x14ac:dyDescent="0.2">
      <c r="G3971" s="23"/>
      <c r="H3971" s="24"/>
      <c r="I3971" s="25"/>
    </row>
    <row r="3972" spans="7:9" x14ac:dyDescent="0.2">
      <c r="G3972" s="23"/>
      <c r="H3972" s="24"/>
      <c r="I3972" s="25"/>
    </row>
    <row r="3973" spans="7:9" x14ac:dyDescent="0.2">
      <c r="G3973" s="23"/>
      <c r="H3973" s="24"/>
      <c r="I3973" s="25"/>
    </row>
    <row r="3974" spans="7:9" x14ac:dyDescent="0.2">
      <c r="G3974" s="23"/>
      <c r="H3974" s="24"/>
      <c r="I3974" s="25"/>
    </row>
    <row r="3975" spans="7:9" x14ac:dyDescent="0.2">
      <c r="G3975" s="23"/>
      <c r="H3975" s="24"/>
      <c r="I3975" s="25"/>
    </row>
    <row r="3976" spans="7:9" x14ac:dyDescent="0.2">
      <c r="G3976" s="23"/>
      <c r="H3976" s="24"/>
      <c r="I3976" s="25"/>
    </row>
    <row r="3977" spans="7:9" x14ac:dyDescent="0.2">
      <c r="G3977" s="23"/>
      <c r="H3977" s="24"/>
      <c r="I3977" s="25"/>
    </row>
    <row r="3978" spans="7:9" x14ac:dyDescent="0.2">
      <c r="G3978" s="23"/>
      <c r="H3978" s="24"/>
      <c r="I3978" s="25"/>
    </row>
    <row r="3979" spans="7:9" x14ac:dyDescent="0.2">
      <c r="G3979" s="23"/>
      <c r="H3979" s="24"/>
      <c r="I3979" s="25"/>
    </row>
    <row r="3980" spans="7:9" x14ac:dyDescent="0.2">
      <c r="G3980" s="23"/>
      <c r="H3980" s="24"/>
      <c r="I3980" s="25"/>
    </row>
    <row r="3981" spans="7:9" x14ac:dyDescent="0.2">
      <c r="G3981" s="23"/>
      <c r="H3981" s="24"/>
      <c r="I3981" s="25"/>
    </row>
    <row r="3982" spans="7:9" x14ac:dyDescent="0.2">
      <c r="G3982" s="23"/>
      <c r="H3982" s="24"/>
      <c r="I3982" s="25"/>
    </row>
    <row r="3983" spans="7:9" x14ac:dyDescent="0.2">
      <c r="G3983" s="23"/>
      <c r="H3983" s="24"/>
      <c r="I3983" s="25"/>
    </row>
    <row r="3984" spans="7:9" x14ac:dyDescent="0.2">
      <c r="G3984" s="23"/>
      <c r="H3984" s="24"/>
      <c r="I3984" s="25"/>
    </row>
    <row r="3985" spans="7:9" x14ac:dyDescent="0.2">
      <c r="G3985" s="23"/>
      <c r="H3985" s="24"/>
      <c r="I3985" s="25"/>
    </row>
    <row r="3986" spans="7:9" x14ac:dyDescent="0.2">
      <c r="G3986" s="23"/>
      <c r="H3986" s="24"/>
      <c r="I3986" s="25"/>
    </row>
    <row r="3987" spans="7:9" x14ac:dyDescent="0.2">
      <c r="G3987" s="23"/>
      <c r="H3987" s="24"/>
      <c r="I3987" s="25"/>
    </row>
    <row r="3988" spans="7:9" x14ac:dyDescent="0.2">
      <c r="G3988" s="23"/>
      <c r="H3988" s="24"/>
      <c r="I3988" s="25"/>
    </row>
    <row r="3989" spans="7:9" x14ac:dyDescent="0.2">
      <c r="G3989" s="23"/>
      <c r="H3989" s="24"/>
      <c r="I3989" s="25"/>
    </row>
    <row r="3990" spans="7:9" x14ac:dyDescent="0.2">
      <c r="G3990" s="23"/>
      <c r="H3990" s="24"/>
      <c r="I3990" s="25"/>
    </row>
    <row r="3991" spans="7:9" x14ac:dyDescent="0.2">
      <c r="G3991" s="23"/>
      <c r="H3991" s="24"/>
      <c r="I3991" s="25"/>
    </row>
    <row r="3992" spans="7:9" x14ac:dyDescent="0.2">
      <c r="G3992" s="23"/>
      <c r="H3992" s="24"/>
      <c r="I3992" s="25"/>
    </row>
    <row r="3993" spans="7:9" x14ac:dyDescent="0.2">
      <c r="G3993" s="23"/>
      <c r="H3993" s="24"/>
      <c r="I3993" s="25"/>
    </row>
    <row r="3994" spans="7:9" x14ac:dyDescent="0.2">
      <c r="G3994" s="23"/>
      <c r="H3994" s="24"/>
      <c r="I3994" s="25"/>
    </row>
    <row r="3995" spans="7:9" x14ac:dyDescent="0.2">
      <c r="G3995" s="23"/>
      <c r="H3995" s="24"/>
      <c r="I3995" s="25"/>
    </row>
    <row r="3996" spans="7:9" x14ac:dyDescent="0.2">
      <c r="G3996" s="23"/>
      <c r="H3996" s="24"/>
      <c r="I3996" s="25"/>
    </row>
    <row r="3997" spans="7:9" x14ac:dyDescent="0.2">
      <c r="G3997" s="23"/>
      <c r="H3997" s="24"/>
      <c r="I3997" s="25"/>
    </row>
    <row r="3998" spans="7:9" x14ac:dyDescent="0.2">
      <c r="G3998" s="23"/>
      <c r="H3998" s="24"/>
      <c r="I3998" s="25"/>
    </row>
    <row r="3999" spans="7:9" x14ac:dyDescent="0.2">
      <c r="G3999" s="23"/>
      <c r="H3999" s="24"/>
      <c r="I3999" s="25"/>
    </row>
    <row r="4000" spans="7:9" x14ac:dyDescent="0.2">
      <c r="G4000" s="23"/>
      <c r="H4000" s="24"/>
      <c r="I4000" s="25"/>
    </row>
    <row r="4001" spans="7:9" x14ac:dyDescent="0.2">
      <c r="G4001" s="23"/>
      <c r="H4001" s="24"/>
      <c r="I4001" s="25"/>
    </row>
    <row r="4002" spans="7:9" x14ac:dyDescent="0.2">
      <c r="G4002" s="23"/>
      <c r="H4002" s="24"/>
      <c r="I4002" s="25"/>
    </row>
    <row r="4003" spans="7:9" x14ac:dyDescent="0.2">
      <c r="G4003" s="23"/>
      <c r="H4003" s="24"/>
      <c r="I4003" s="25"/>
    </row>
    <row r="4004" spans="7:9" x14ac:dyDescent="0.2">
      <c r="G4004" s="23"/>
      <c r="H4004" s="24"/>
      <c r="I4004" s="25"/>
    </row>
  </sheetData>
  <mergeCells count="1">
    <mergeCell ref="D2:F2"/>
  </mergeCell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V4"/>
  <sheetViews>
    <sheetView showGridLines="0" showRowColHeaders="0" zoomScale="75" workbookViewId="0">
      <selection activeCell="P21" sqref="P21"/>
    </sheetView>
  </sheetViews>
  <sheetFormatPr defaultColWidth="9.140625" defaultRowHeight="12.75" x14ac:dyDescent="0.2"/>
  <cols>
    <col min="1" max="16384" width="9.140625" style="11"/>
  </cols>
  <sheetData>
    <row r="1" spans="1:22" x14ac:dyDescent="0.2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22" x14ac:dyDescent="0.2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</row>
    <row r="3" spans="1:22" x14ac:dyDescent="0.2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</row>
    <row r="4" spans="1:22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1438"/>
  <sheetViews>
    <sheetView tabSelected="1" topLeftCell="F1" zoomScale="88" zoomScaleNormal="80" workbookViewId="0">
      <selection activeCell="S84" sqref="S84"/>
    </sheetView>
  </sheetViews>
  <sheetFormatPr defaultRowHeight="12.75" x14ac:dyDescent="0.2"/>
  <sheetData>
    <row r="1" spans="1:31" ht="18" x14ac:dyDescent="0.25">
      <c r="A1" s="57" t="s">
        <v>60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</row>
    <row r="3" spans="1:31" x14ac:dyDescent="0.2">
      <c r="B3" s="3" t="s">
        <v>51</v>
      </c>
      <c r="J3" s="3" t="s">
        <v>48</v>
      </c>
    </row>
    <row r="4" spans="1:31" ht="13.5" thickBot="1" x14ac:dyDescent="0.25">
      <c r="M4" s="124" t="s">
        <v>33</v>
      </c>
      <c r="N4" s="124"/>
      <c r="O4" s="124"/>
      <c r="P4" s="124"/>
    </row>
    <row r="5" spans="1:31" ht="15" x14ac:dyDescent="0.25">
      <c r="M5" s="61" t="s">
        <v>27</v>
      </c>
      <c r="N5" s="61" t="s">
        <v>28</v>
      </c>
      <c r="O5" s="61" t="s">
        <v>26</v>
      </c>
      <c r="P5" s="61" t="s">
        <v>25</v>
      </c>
    </row>
    <row r="6" spans="1:31" x14ac:dyDescent="0.2">
      <c r="L6" s="53" t="s">
        <v>31</v>
      </c>
      <c r="M6" s="119">
        <f>AVERAGE(Data!C2:C85)</f>
        <v>3.634642857142858</v>
      </c>
      <c r="N6" s="52">
        <f>AVERAGE(Data!D2:D85)</f>
        <v>6.7420238095238103</v>
      </c>
      <c r="O6" s="52">
        <f>AVERAGE(Data!E2:E85)</f>
        <v>12.012142857142855</v>
      </c>
      <c r="P6" s="52">
        <f>AVERAGE(Data!F1:F85)</f>
        <v>16.686309523809523</v>
      </c>
    </row>
    <row r="7" spans="1:31" x14ac:dyDescent="0.2">
      <c r="L7" s="53" t="s">
        <v>32</v>
      </c>
      <c r="M7" s="52">
        <f>_xlfn.STDEV.S(Data!C2:C85)</f>
        <v>3.1354788440931296</v>
      </c>
      <c r="N7" s="52">
        <f>_xlfn.STDEV.S(Data!D2:D85)</f>
        <v>6.6430871361304202</v>
      </c>
      <c r="O7" s="52">
        <f>_xlfn.STDEV.S(Data!E2:E85)</f>
        <v>21.622608597987337</v>
      </c>
      <c r="P7" s="52">
        <f>_xlfn.STDEV.S(Data!F2:F85)</f>
        <v>28.880649326034934</v>
      </c>
    </row>
    <row r="19" spans="3:18" x14ac:dyDescent="0.2">
      <c r="R19" s="68" t="s">
        <v>50</v>
      </c>
    </row>
    <row r="20" spans="3:18" x14ac:dyDescent="0.2">
      <c r="J20" s="3" t="s">
        <v>49</v>
      </c>
    </row>
    <row r="21" spans="3:18" ht="13.5" thickBot="1" x14ac:dyDescent="0.25">
      <c r="M21" s="124" t="s">
        <v>34</v>
      </c>
      <c r="N21" s="124"/>
      <c r="O21" s="124"/>
      <c r="P21" s="124"/>
    </row>
    <row r="22" spans="3:18" ht="15" x14ac:dyDescent="0.25">
      <c r="M22" s="61" t="s">
        <v>27</v>
      </c>
      <c r="N22" s="61" t="s">
        <v>28</v>
      </c>
      <c r="O22" s="61" t="s">
        <v>26</v>
      </c>
      <c r="P22" s="61" t="s">
        <v>25</v>
      </c>
    </row>
    <row r="23" spans="3:18" x14ac:dyDescent="0.2">
      <c r="L23" s="53" t="s">
        <v>31</v>
      </c>
      <c r="M23" s="52">
        <f>AVERAGE(Data!C76:C85)</f>
        <v>1.8229999999999997</v>
      </c>
      <c r="N23" s="52">
        <f>AVERAGE(Data!D76:D85)</f>
        <v>9.0749999999999993</v>
      </c>
      <c r="O23" s="52">
        <f>AVERAGE(Data!E76:E85)</f>
        <v>6.3020000000000005</v>
      </c>
      <c r="P23" s="52">
        <f>AVERAGE(Data!F76:F85)</f>
        <v>11.293000000000003</v>
      </c>
    </row>
    <row r="24" spans="3:18" x14ac:dyDescent="0.2">
      <c r="L24" s="53" t="s">
        <v>32</v>
      </c>
      <c r="M24" s="52">
        <f>_xlfn.STDEV.S(Data!C76:C85)</f>
        <v>1.782115160264466</v>
      </c>
      <c r="N24" s="52">
        <f>_xlfn.STDEV.S(Data!D76:D85)</f>
        <v>6.6516735571667311</v>
      </c>
      <c r="O24" s="52">
        <f>_xlfn.STDEV.S(Data!E76:E85)</f>
        <v>21.240430420413908</v>
      </c>
      <c r="P24" s="52">
        <f>_xlfn.STDEV.S(Data!F76:F85)</f>
        <v>24.166401860618159</v>
      </c>
    </row>
    <row r="26" spans="3:18" x14ac:dyDescent="0.2">
      <c r="C26" s="125"/>
      <c r="D26" s="125"/>
      <c r="E26" s="102"/>
      <c r="F26" s="100"/>
      <c r="G26" s="103"/>
      <c r="H26" s="103"/>
    </row>
    <row r="27" spans="3:18" x14ac:dyDescent="0.2">
      <c r="C27" s="104"/>
      <c r="D27" s="101"/>
      <c r="E27" s="101"/>
      <c r="F27" s="101"/>
      <c r="G27" s="103"/>
      <c r="H27" s="103"/>
    </row>
    <row r="28" spans="3:18" x14ac:dyDescent="0.2">
      <c r="C28" s="104"/>
      <c r="D28" s="105"/>
      <c r="E28" s="105"/>
      <c r="F28" s="37"/>
      <c r="G28" s="103"/>
      <c r="H28" s="106"/>
    </row>
    <row r="29" spans="3:18" x14ac:dyDescent="0.2">
      <c r="C29" s="104"/>
      <c r="D29" s="105"/>
      <c r="E29" s="37"/>
      <c r="F29" s="107"/>
      <c r="G29" s="103"/>
      <c r="H29" s="103"/>
    </row>
    <row r="30" spans="3:18" x14ac:dyDescent="0.2">
      <c r="C30" s="103"/>
      <c r="D30" s="103"/>
      <c r="E30" s="103"/>
      <c r="F30" s="103"/>
      <c r="G30" s="103"/>
      <c r="H30" s="103"/>
    </row>
    <row r="31" spans="3:18" x14ac:dyDescent="0.2">
      <c r="C31" s="103"/>
      <c r="D31" s="103"/>
      <c r="E31" s="103"/>
      <c r="F31" s="103"/>
      <c r="G31" s="103"/>
      <c r="H31" s="103"/>
    </row>
    <row r="32" spans="3:18" x14ac:dyDescent="0.2">
      <c r="C32" s="103"/>
      <c r="D32" s="103"/>
      <c r="E32" s="103"/>
      <c r="F32" s="103"/>
      <c r="G32" s="103"/>
      <c r="H32" s="106"/>
    </row>
    <row r="33" spans="1:31" x14ac:dyDescent="0.2">
      <c r="C33" s="103"/>
      <c r="D33" s="103"/>
      <c r="E33" s="103"/>
      <c r="F33" s="103"/>
      <c r="G33" s="103"/>
      <c r="H33" s="106"/>
    </row>
    <row r="34" spans="1:31" x14ac:dyDescent="0.2">
      <c r="C34" s="103"/>
      <c r="D34" s="108"/>
      <c r="E34" s="103"/>
      <c r="F34" s="103"/>
      <c r="G34" s="103"/>
      <c r="H34" s="106"/>
    </row>
    <row r="35" spans="1:31" x14ac:dyDescent="0.2">
      <c r="C35" s="103"/>
      <c r="D35" s="108"/>
      <c r="E35" s="103"/>
      <c r="F35" s="103"/>
      <c r="G35" s="103"/>
      <c r="H35" s="106"/>
    </row>
    <row r="36" spans="1:31" x14ac:dyDescent="0.2">
      <c r="C36" s="103"/>
      <c r="D36" s="108"/>
      <c r="E36" s="103"/>
      <c r="F36" s="103"/>
      <c r="G36" s="103"/>
      <c r="H36" s="106"/>
      <c r="R36" s="68" t="s">
        <v>50</v>
      </c>
    </row>
    <row r="41" spans="1:31" ht="18" x14ac:dyDescent="0.25">
      <c r="A41" s="57" t="s">
        <v>43</v>
      </c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</row>
    <row r="43" spans="1:31" x14ac:dyDescent="0.2">
      <c r="A43" s="31" t="s">
        <v>5</v>
      </c>
      <c r="B43" s="31" t="s">
        <v>2</v>
      </c>
      <c r="D43" s="3" t="s">
        <v>35</v>
      </c>
      <c r="L43" s="3" t="s">
        <v>73</v>
      </c>
      <c r="U43" s="3" t="s">
        <v>54</v>
      </c>
    </row>
    <row r="44" spans="1:31" x14ac:dyDescent="0.2">
      <c r="A44" s="23">
        <v>3.0087580013285469</v>
      </c>
      <c r="B44" s="24">
        <v>0.5286432696452783</v>
      </c>
      <c r="X44" s="55">
        <v>1</v>
      </c>
      <c r="Y44" s="55">
        <v>1</v>
      </c>
    </row>
    <row r="45" spans="1:31" x14ac:dyDescent="0.2">
      <c r="A45" s="23">
        <v>3.508268739570275</v>
      </c>
      <c r="B45" s="24">
        <v>0.59622897240321859</v>
      </c>
      <c r="X45" s="64" t="s">
        <v>11</v>
      </c>
      <c r="Y45" s="64" t="s">
        <v>57</v>
      </c>
    </row>
    <row r="46" spans="1:31" x14ac:dyDescent="0.2">
      <c r="A46" s="23">
        <v>1.9721127356715378</v>
      </c>
      <c r="B46" s="24">
        <v>0.3280003908495292</v>
      </c>
      <c r="W46" s="53" t="s">
        <v>21</v>
      </c>
      <c r="X46" s="52">
        <f>AVERAGE(Data!J2:J231)</f>
        <v>0.82752952740264207</v>
      </c>
      <c r="Y46" s="52">
        <f>AVERAGE(Data!K2:K231)</f>
        <v>0.13331338652684457</v>
      </c>
    </row>
    <row r="47" spans="1:31" x14ac:dyDescent="0.2">
      <c r="A47" s="23">
        <v>2.2432785519440217</v>
      </c>
      <c r="B47" s="24">
        <v>0.14587406176934897</v>
      </c>
      <c r="W47" s="67" t="s">
        <v>61</v>
      </c>
      <c r="X47" s="52">
        <f>_xlfn.VAR.S(Data!J2:J231)</f>
        <v>29.23021327224836</v>
      </c>
      <c r="Y47" s="52">
        <f>_xlfn.VAR.S(Data!K2:K231)</f>
        <v>5.3156383270917047</v>
      </c>
    </row>
    <row r="48" spans="1:31" x14ac:dyDescent="0.2">
      <c r="A48" s="23">
        <v>2.8412855514794617</v>
      </c>
      <c r="B48" s="24">
        <v>0.50444680071849013</v>
      </c>
      <c r="W48" s="67" t="s">
        <v>68</v>
      </c>
      <c r="X48" s="52">
        <f>SQRT(X47)</f>
        <v>5.4064973200999891</v>
      </c>
      <c r="Y48" s="52">
        <f>SQRT(Y47)</f>
        <v>2.3055668125412683</v>
      </c>
    </row>
    <row r="49" spans="1:27" x14ac:dyDescent="0.2">
      <c r="A49" s="23">
        <v>2.022485535244281</v>
      </c>
      <c r="B49" s="24">
        <v>0.20184976617859765</v>
      </c>
      <c r="U49" s="3" t="s">
        <v>46</v>
      </c>
    </row>
    <row r="50" spans="1:27" x14ac:dyDescent="0.2">
      <c r="A50" s="23">
        <v>2.7817241389484133</v>
      </c>
      <c r="B50" s="24">
        <v>0.49556884723061628</v>
      </c>
      <c r="W50" s="67" t="s">
        <v>55</v>
      </c>
      <c r="X50" s="52">
        <f>CORREL(Data!J2:J231,Data!K2:K231)</f>
        <v>-0.23096014629067535</v>
      </c>
    </row>
    <row r="51" spans="1:27" x14ac:dyDescent="0.2">
      <c r="A51" s="23">
        <v>1.9709491215101624</v>
      </c>
      <c r="B51" s="24">
        <v>0.32748553881826814</v>
      </c>
      <c r="W51" s="67" t="s">
        <v>56</v>
      </c>
      <c r="X51" s="52">
        <f>_xlfn.COVARIANCE.S(Data!J2:J231,Data!K2:K231)</f>
        <v>-2.8789276451434631</v>
      </c>
    </row>
    <row r="52" spans="1:27" x14ac:dyDescent="0.2">
      <c r="A52" s="23">
        <v>5.0483028099204121</v>
      </c>
      <c r="B52" s="24">
        <v>0.78544559267457348</v>
      </c>
    </row>
    <row r="53" spans="1:27" x14ac:dyDescent="0.2">
      <c r="A53" s="23">
        <v>3.8117140896414226</v>
      </c>
      <c r="B53" s="24">
        <v>0.63514798898678193</v>
      </c>
      <c r="U53" s="3" t="s">
        <v>69</v>
      </c>
    </row>
    <row r="54" spans="1:27" x14ac:dyDescent="0.2">
      <c r="A54" s="23">
        <v>2.3041828692612079</v>
      </c>
      <c r="B54" s="24">
        <v>0.41533950945042297</v>
      </c>
      <c r="Y54" s="3" t="s">
        <v>11</v>
      </c>
      <c r="Z54" s="3" t="s">
        <v>57</v>
      </c>
    </row>
    <row r="55" spans="1:27" x14ac:dyDescent="0.2">
      <c r="A55" s="23">
        <v>2.0578267977738314</v>
      </c>
      <c r="B55" s="24">
        <v>0.19081469687761651</v>
      </c>
      <c r="X55" s="67" t="s">
        <v>24</v>
      </c>
      <c r="Y55" s="110">
        <f>'Output Sheet'!B5</f>
        <v>0.56381694393311932</v>
      </c>
      <c r="Z55" s="110">
        <f>'Output Sheet'!B6</f>
        <v>0.43618305606688068</v>
      </c>
      <c r="AA55" s="51" t="s">
        <v>65</v>
      </c>
    </row>
    <row r="56" spans="1:27" x14ac:dyDescent="0.2">
      <c r="A56" s="23">
        <v>3.2178136994037185</v>
      </c>
      <c r="B56" s="24">
        <v>0.55761094638093911</v>
      </c>
      <c r="X56" s="74" t="s">
        <v>62</v>
      </c>
      <c r="Y56" s="111">
        <f>'Output Sheet'!E4</f>
        <v>0.52472420950448062</v>
      </c>
      <c r="AA56" s="51" t="s">
        <v>65</v>
      </c>
    </row>
    <row r="57" spans="1:27" x14ac:dyDescent="0.2">
      <c r="A57" s="23">
        <v>2.6390308682130028</v>
      </c>
      <c r="B57" s="24">
        <v>0.47355739512545891</v>
      </c>
      <c r="X57" s="54" t="s">
        <v>22</v>
      </c>
      <c r="Y57" s="111">
        <f>'Output Sheet'!F4</f>
        <v>2.9811566776049316</v>
      </c>
      <c r="AA57" s="51" t="s">
        <v>65</v>
      </c>
    </row>
    <row r="58" spans="1:27" x14ac:dyDescent="0.2">
      <c r="A58" s="23">
        <v>2.6197210465462084</v>
      </c>
      <c r="B58" s="24">
        <v>0.4704842842417849</v>
      </c>
      <c r="X58" s="54" t="s">
        <v>23</v>
      </c>
      <c r="Y58" s="111">
        <f>'Output Sheet'!D4</f>
        <v>0.14246960289104596</v>
      </c>
      <c r="AA58" s="51" t="s">
        <v>65</v>
      </c>
    </row>
    <row r="59" spans="1:27" x14ac:dyDescent="0.2">
      <c r="A59" s="23">
        <v>2.6897357107827036</v>
      </c>
      <c r="B59" s="24">
        <v>0.48151235489812733</v>
      </c>
    </row>
    <row r="60" spans="1:27" x14ac:dyDescent="0.2">
      <c r="A60" s="23">
        <v>2.1963092896920893</v>
      </c>
      <c r="B60" s="24">
        <v>0.39295780247149226</v>
      </c>
      <c r="U60" s="3" t="s">
        <v>47</v>
      </c>
    </row>
    <row r="61" spans="1:27" x14ac:dyDescent="0.2">
      <c r="A61" s="23">
        <v>4.2459760086129226</v>
      </c>
      <c r="B61" s="24">
        <v>0.68911341964365558</v>
      </c>
    </row>
    <row r="62" spans="1:27" x14ac:dyDescent="0.2">
      <c r="A62" s="23">
        <v>2.3355632892336615</v>
      </c>
      <c r="B62" s="24">
        <v>0.42138872811663508</v>
      </c>
      <c r="Y62" s="67" t="s">
        <v>44</v>
      </c>
      <c r="Z62" s="56">
        <f>(Y56-X46)/X46</f>
        <v>-0.36591481979932872</v>
      </c>
    </row>
    <row r="63" spans="1:27" x14ac:dyDescent="0.2">
      <c r="A63" s="23">
        <v>2.0346520102989425</v>
      </c>
      <c r="B63" s="24">
        <v>0.35103017382543011</v>
      </c>
      <c r="Y63" s="67" t="s">
        <v>45</v>
      </c>
      <c r="Z63" s="56">
        <f>(Y57-X48)/X48</f>
        <v>-0.44859740029431894</v>
      </c>
    </row>
    <row r="64" spans="1:27" x14ac:dyDescent="0.2">
      <c r="A64" s="23">
        <v>2.0278177760706835</v>
      </c>
      <c r="B64" s="24">
        <v>0.20009272940117787</v>
      </c>
    </row>
    <row r="65" spans="1:31" x14ac:dyDescent="0.2">
      <c r="A65" s="23">
        <v>5.2719431554937408</v>
      </c>
      <c r="B65" s="24">
        <v>0.81177258204381497</v>
      </c>
    </row>
    <row r="66" spans="1:31" x14ac:dyDescent="0.2">
      <c r="A66" s="23">
        <v>4.5386823621193244</v>
      </c>
      <c r="B66" s="24">
        <v>0.72466493865654646</v>
      </c>
      <c r="M66" s="68" t="s">
        <v>53</v>
      </c>
    </row>
    <row r="67" spans="1:31" x14ac:dyDescent="0.2">
      <c r="A67" s="23">
        <v>1.992342333309139</v>
      </c>
      <c r="B67" s="24">
        <v>0.21261199930859906</v>
      </c>
    </row>
    <row r="68" spans="1:31" x14ac:dyDescent="0.2">
      <c r="A68" s="23">
        <v>4.5957537291998687</v>
      </c>
      <c r="B68" s="24">
        <v>0.73153569299055965</v>
      </c>
    </row>
    <row r="69" spans="1:31" x14ac:dyDescent="0.2">
      <c r="A69" s="23">
        <v>2.4163462940808973</v>
      </c>
      <c r="B69" s="24">
        <v>0.43625713193515919</v>
      </c>
    </row>
    <row r="70" spans="1:31" x14ac:dyDescent="0.2">
      <c r="A70" s="23">
        <v>1.9251823328304463</v>
      </c>
      <c r="B70" s="24">
        <v>0.30052556946808462</v>
      </c>
    </row>
    <row r="71" spans="1:31" x14ac:dyDescent="0.2">
      <c r="A71" s="23">
        <v>3.7379225062557966</v>
      </c>
      <c r="B71" s="24">
        <v>0.6257920550982623</v>
      </c>
    </row>
    <row r="72" spans="1:31" x14ac:dyDescent="0.2">
      <c r="A72" s="23">
        <v>3.3370014844547913</v>
      </c>
      <c r="B72" s="24">
        <v>0.57365298628687666</v>
      </c>
    </row>
    <row r="73" spans="1:31" x14ac:dyDescent="0.2">
      <c r="A73" s="23">
        <v>1.910419789717092</v>
      </c>
      <c r="B73" s="24">
        <v>0.27296270471622242</v>
      </c>
    </row>
    <row r="74" spans="1:31" x14ac:dyDescent="0.2">
      <c r="A74" s="23">
        <v>2.6754372508546624</v>
      </c>
      <c r="B74" s="24">
        <v>0.47928518745510246</v>
      </c>
    </row>
    <row r="75" spans="1:31" x14ac:dyDescent="0.2">
      <c r="A75" s="23">
        <v>3.6111220747224273</v>
      </c>
      <c r="B75" s="24">
        <v>0.60955896203324011</v>
      </c>
    </row>
    <row r="76" spans="1:31" ht="18" x14ac:dyDescent="0.25">
      <c r="A76" s="23">
        <v>3.9790129750039229</v>
      </c>
      <c r="B76" s="24">
        <v>0.65614207581700446</v>
      </c>
      <c r="D76" s="57" t="s">
        <v>52</v>
      </c>
      <c r="E76" s="63"/>
      <c r="F76" s="63"/>
      <c r="G76" s="63"/>
      <c r="H76" s="63"/>
      <c r="I76" s="63"/>
      <c r="J76" s="63"/>
      <c r="K76" s="63"/>
      <c r="L76" s="63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</row>
    <row r="77" spans="1:31" ht="18" x14ac:dyDescent="0.25">
      <c r="A77" s="23">
        <v>1.9259047423470288</v>
      </c>
      <c r="B77" s="24">
        <v>0.30115612071508185</v>
      </c>
      <c r="F77" s="65"/>
      <c r="G77" s="65"/>
      <c r="H77" s="65"/>
      <c r="I77" s="65"/>
      <c r="J77" s="65"/>
      <c r="L77" s="72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</row>
    <row r="78" spans="1:31" ht="13.5" thickBot="1" x14ac:dyDescent="0.25">
      <c r="A78" s="23">
        <v>1.9403111387868235</v>
      </c>
      <c r="B78" s="24">
        <v>0.23733205031503782</v>
      </c>
      <c r="D78" s="4"/>
      <c r="E78" s="4"/>
      <c r="F78" s="97" t="s">
        <v>40</v>
      </c>
      <c r="G78" s="4"/>
      <c r="H78" s="4"/>
      <c r="K78" s="3" t="s">
        <v>63</v>
      </c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</row>
    <row r="79" spans="1:31" x14ac:dyDescent="0.2">
      <c r="A79" s="23">
        <v>4.1073151209551337</v>
      </c>
      <c r="B79" s="24">
        <v>0.6720618128792285</v>
      </c>
      <c r="D79" s="3" t="s">
        <v>14</v>
      </c>
      <c r="E79" s="64" t="s">
        <v>36</v>
      </c>
      <c r="F79" s="64" t="s">
        <v>37</v>
      </c>
      <c r="G79" s="64" t="s">
        <v>39</v>
      </c>
      <c r="H79" s="64" t="s">
        <v>38</v>
      </c>
      <c r="O79" s="64" t="s">
        <v>14</v>
      </c>
      <c r="P79" s="64" t="s">
        <v>36</v>
      </c>
      <c r="Q79" s="64" t="s">
        <v>37</v>
      </c>
      <c r="R79" s="64" t="s">
        <v>39</v>
      </c>
      <c r="S79" s="64" t="s">
        <v>38</v>
      </c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</row>
    <row r="80" spans="1:31" x14ac:dyDescent="0.2">
      <c r="A80" s="23">
        <v>3.5493518591527873</v>
      </c>
      <c r="B80" s="24">
        <v>0.6015721946719057</v>
      </c>
      <c r="D80" s="118">
        <v>4.3583062218506295E-2</v>
      </c>
      <c r="E80" s="118">
        <v>-4.6329727868623632E-2</v>
      </c>
      <c r="F80" s="118">
        <v>0.12711105788445379</v>
      </c>
      <c r="G80" s="118">
        <v>0.18500243745459907</v>
      </c>
      <c r="H80" s="118">
        <v>-1.3585636863570965E-2</v>
      </c>
      <c r="N80" s="67" t="s">
        <v>42</v>
      </c>
      <c r="O80" s="69">
        <f>AVERAGE(D80:D139)</f>
        <v>1.0095763047644944E-2</v>
      </c>
      <c r="P80" s="69">
        <f>AVERAGE(E80:E139)</f>
        <v>1.2697552207455731E-2</v>
      </c>
      <c r="Q80" s="69">
        <f>AVERAGE(F80:F139)</f>
        <v>1.4963298170911809E-2</v>
      </c>
      <c r="R80" s="69">
        <f>AVERAGE(G80:G139)</f>
        <v>1.4183037573648472E-2</v>
      </c>
      <c r="S80" s="69">
        <f>AVERAGE(H80:H139)</f>
        <v>9.8465013778811453E-3</v>
      </c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</row>
    <row r="81" spans="1:50" x14ac:dyDescent="0.2">
      <c r="A81" s="23">
        <v>1.924191282930322</v>
      </c>
      <c r="B81" s="24">
        <v>0.29963525673968477</v>
      </c>
      <c r="D81" s="118">
        <v>4.058946413084185E-2</v>
      </c>
      <c r="E81" s="118">
        <v>5.1104092114842251E-2</v>
      </c>
      <c r="F81" s="118">
        <v>0.18831070826901419</v>
      </c>
      <c r="G81" s="118">
        <v>8.3263948296331394E-2</v>
      </c>
      <c r="H81" s="118">
        <v>2.508604109083017E-2</v>
      </c>
      <c r="N81" s="67" t="s">
        <v>41</v>
      </c>
      <c r="O81" s="96">
        <v>1</v>
      </c>
      <c r="P81" s="71">
        <f>N128</f>
        <v>0.39948089854205704</v>
      </c>
      <c r="Q81" s="71">
        <f>X128</f>
        <v>1.2851574045384797</v>
      </c>
      <c r="R81" s="71">
        <f>AH128</f>
        <v>1.4011303358834344</v>
      </c>
      <c r="S81" s="71">
        <f>AR128</f>
        <v>0.19857769126232874</v>
      </c>
    </row>
    <row r="82" spans="1:50" x14ac:dyDescent="0.2">
      <c r="A82" s="23">
        <v>2.6899883214782889</v>
      </c>
      <c r="B82" s="24">
        <v>0.48155159303575462</v>
      </c>
      <c r="D82" s="118">
        <v>3.1332314530530633E-2</v>
      </c>
      <c r="E82" s="118">
        <v>1.5906318184488552E-2</v>
      </c>
      <c r="F82" s="118">
        <v>0.10528342394215917</v>
      </c>
      <c r="G82" s="118">
        <v>-1.4219879481941883E-2</v>
      </c>
      <c r="H82" s="118">
        <v>5.2459884489690807E-2</v>
      </c>
      <c r="N82" s="67" t="s">
        <v>74</v>
      </c>
      <c r="P82" s="70">
        <f>(P80-0.001)/P81</f>
        <v>2.9281881186677617E-2</v>
      </c>
      <c r="Q82" s="70">
        <f>(Q80-0.001)/Q81</f>
        <v>1.0865048998356936E-2</v>
      </c>
      <c r="R82" s="70">
        <f>(R80-0.001)/R81</f>
        <v>9.4088588591841188E-3</v>
      </c>
      <c r="S82" s="70">
        <f>(S80-0.001)/S81</f>
        <v>4.4549321334361666E-2</v>
      </c>
    </row>
    <row r="83" spans="1:50" x14ac:dyDescent="0.2">
      <c r="A83" s="23">
        <v>4.3214065833143867</v>
      </c>
      <c r="B83" s="24">
        <v>0.69832909203181714</v>
      </c>
      <c r="D83" s="118">
        <v>-7.4974527092704279E-3</v>
      </c>
      <c r="E83" s="118">
        <v>8.0145825447518141E-3</v>
      </c>
      <c r="F83" s="118">
        <v>-2.5969474350135999E-2</v>
      </c>
      <c r="G83" s="118">
        <v>-0.10331382477707886</v>
      </c>
      <c r="H83" s="118">
        <v>1.7737792830855893E-2</v>
      </c>
      <c r="N83" s="74" t="s">
        <v>75</v>
      </c>
      <c r="P83" s="56">
        <f>(0.001+(P81*(O80-0.001)))*12</f>
        <v>5.5603003142386101E-2</v>
      </c>
      <c r="Q83" s="56">
        <f>(0.001+(Q81*(O80-0.001)))*12</f>
        <v>0.15227384676730063</v>
      </c>
      <c r="R83" s="56">
        <f>(0.001+(R81*(O80-0.001)))*12</f>
        <v>0.16493219440875467</v>
      </c>
      <c r="S83" s="56">
        <f>(0.001+(S81*(O80-0.001)))*12</f>
        <v>3.3674587515246435E-2</v>
      </c>
    </row>
    <row r="84" spans="1:50" x14ac:dyDescent="0.2">
      <c r="A84" s="23">
        <v>2.457626563001662</v>
      </c>
      <c r="B84" s="24">
        <v>0.44352860983257947</v>
      </c>
      <c r="D84" s="118">
        <v>-6.2650725633177598E-2</v>
      </c>
      <c r="E84" s="118">
        <v>-6.2961894042090863E-2</v>
      </c>
      <c r="F84" s="118">
        <v>-1.0702405480440987E-2</v>
      </c>
      <c r="G84" s="118">
        <v>-3.4782610424632612E-2</v>
      </c>
      <c r="H84" s="118">
        <v>-1.0864588846156141E-2</v>
      </c>
      <c r="N84" s="68"/>
    </row>
    <row r="85" spans="1:50" x14ac:dyDescent="0.2">
      <c r="A85" s="23">
        <v>2.7851521509777291</v>
      </c>
      <c r="B85" s="24">
        <v>0.49608426530775146</v>
      </c>
      <c r="D85" s="118">
        <v>3.9554982134591417E-2</v>
      </c>
      <c r="E85" s="118">
        <v>5.299683812908744E-2</v>
      </c>
      <c r="F85" s="118">
        <v>1.0852841869027756E-2</v>
      </c>
      <c r="G85" s="118">
        <v>-0.1117117380645971</v>
      </c>
      <c r="H85" s="118">
        <v>4.6463173882544624E-2</v>
      </c>
      <c r="N85" s="75"/>
    </row>
    <row r="86" spans="1:50" x14ac:dyDescent="0.2">
      <c r="A86" s="23">
        <v>2.1736606612510445</v>
      </c>
      <c r="B86" s="24">
        <v>0.16106928793689906</v>
      </c>
      <c r="D86" s="118">
        <v>1.2597574126154459E-2</v>
      </c>
      <c r="E86" s="118">
        <v>5.9127991353116912E-4</v>
      </c>
      <c r="F86" s="118">
        <v>4.5821868482470954E-2</v>
      </c>
      <c r="G86" s="118">
        <v>-5.0711682546604312E-4</v>
      </c>
      <c r="H86" s="118">
        <v>1.9659811688128796E-2</v>
      </c>
    </row>
    <row r="87" spans="1:50" x14ac:dyDescent="0.2">
      <c r="A87" s="23">
        <v>3.5811238025799108</v>
      </c>
      <c r="B87" s="24">
        <v>0.60568709352673777</v>
      </c>
      <c r="D87" s="118">
        <v>1.9763369680148135E-2</v>
      </c>
      <c r="E87" s="118">
        <v>6.1310712475518246E-2</v>
      </c>
      <c r="F87" s="118">
        <v>9.3876805513109562E-2</v>
      </c>
      <c r="G87" s="118">
        <v>8.3206571976938731E-2</v>
      </c>
      <c r="H87" s="118">
        <v>-5.9575405814549537E-2</v>
      </c>
    </row>
    <row r="88" spans="1:50" x14ac:dyDescent="0.2">
      <c r="A88" s="23">
        <v>3.0327279487972554</v>
      </c>
      <c r="B88" s="24">
        <v>0.53202703343847768</v>
      </c>
      <c r="D88" s="118">
        <v>2.4236153696477046E-2</v>
      </c>
      <c r="E88" s="118">
        <v>-9.1064296144259278E-3</v>
      </c>
      <c r="F88" s="118">
        <v>2.7960248684807416E-3</v>
      </c>
      <c r="G88" s="118">
        <v>6.5573825797340543E-2</v>
      </c>
      <c r="H88" s="118">
        <v>-6.5345775711104989E-3</v>
      </c>
      <c r="K88" s="3" t="s">
        <v>64</v>
      </c>
    </row>
    <row r="89" spans="1:50" x14ac:dyDescent="0.2">
      <c r="A89" s="23">
        <v>2.8009997027267888</v>
      </c>
      <c r="B89" s="24">
        <v>0.49845975987055835</v>
      </c>
      <c r="D89" s="118">
        <v>-1.9789409878227443E-2</v>
      </c>
      <c r="E89" s="118">
        <v>2.1299743413840666E-2</v>
      </c>
      <c r="F89" s="118">
        <v>-0.10760006692145699</v>
      </c>
      <c r="G89" s="118">
        <v>0.12087909271454991</v>
      </c>
      <c r="H89" s="118">
        <v>-3.5153189653361469E-3</v>
      </c>
    </row>
    <row r="90" spans="1:50" x14ac:dyDescent="0.2">
      <c r="A90" s="23">
        <v>2.5364018865491316</v>
      </c>
      <c r="B90" s="24">
        <v>0.45691119495578469</v>
      </c>
      <c r="D90" s="118">
        <v>2.8467170173433272E-3</v>
      </c>
      <c r="E90" s="118">
        <v>4.1961954887708014E-2</v>
      </c>
      <c r="F90" s="118">
        <v>-1.23745703425697E-2</v>
      </c>
      <c r="G90" s="118">
        <v>1.4901844213739296E-2</v>
      </c>
      <c r="H90" s="118">
        <v>-3.6923710356449278E-2</v>
      </c>
      <c r="M90" s="66"/>
      <c r="N90" s="66"/>
      <c r="O90" s="66"/>
      <c r="P90" s="66"/>
      <c r="Q90" s="66"/>
      <c r="R90" s="66"/>
      <c r="S90" s="66"/>
      <c r="T90" s="66"/>
      <c r="W90" s="66"/>
      <c r="X90" s="66"/>
      <c r="Y90" s="66"/>
      <c r="Z90" s="66"/>
      <c r="AA90" s="66"/>
      <c r="AB90" s="66"/>
      <c r="AC90" s="66"/>
      <c r="AD90" s="66"/>
      <c r="AG90" s="66"/>
      <c r="AH90" s="66"/>
      <c r="AI90" s="66"/>
      <c r="AJ90" s="66"/>
      <c r="AK90" s="66"/>
      <c r="AL90" s="66"/>
      <c r="AM90" s="66"/>
      <c r="AN90" s="66"/>
      <c r="AQ90" s="66"/>
      <c r="AR90" s="66"/>
      <c r="AS90" s="66"/>
      <c r="AT90" s="66"/>
      <c r="AU90" s="66"/>
      <c r="AV90" s="66"/>
      <c r="AW90" s="66"/>
      <c r="AX90" s="66"/>
    </row>
    <row r="91" spans="1:50" x14ac:dyDescent="0.2">
      <c r="A91" s="23">
        <v>4.4083057188050585</v>
      </c>
      <c r="B91" s="24">
        <v>0.70889772848339094</v>
      </c>
      <c r="D91" s="118">
        <v>7.0682304638645639E-3</v>
      </c>
      <c r="E91" s="118">
        <v>-3.5252535785504593E-2</v>
      </c>
      <c r="F91" s="118">
        <v>-9.0742939593728658E-2</v>
      </c>
      <c r="G91" s="118">
        <v>0.11398775877338052</v>
      </c>
      <c r="H91" s="118">
        <v>-7.5877238815667712E-3</v>
      </c>
      <c r="M91" s="66"/>
      <c r="N91" s="66"/>
      <c r="O91" s="66"/>
      <c r="P91" s="66"/>
      <c r="Q91" s="66"/>
      <c r="R91" s="66"/>
      <c r="S91" s="66"/>
      <c r="T91" s="66"/>
      <c r="W91" s="66"/>
      <c r="X91" s="66"/>
      <c r="Y91" s="66"/>
      <c r="Z91" s="66"/>
      <c r="AA91" s="66"/>
      <c r="AB91" s="66"/>
      <c r="AC91" s="66"/>
      <c r="AD91" s="66"/>
      <c r="AG91" s="66"/>
      <c r="AH91" s="66"/>
      <c r="AI91" s="66"/>
      <c r="AJ91" s="66"/>
      <c r="AK91" s="66"/>
      <c r="AL91" s="66"/>
      <c r="AM91" s="66"/>
      <c r="AN91" s="66"/>
      <c r="AQ91" s="66"/>
      <c r="AR91" s="66"/>
      <c r="AS91" s="66"/>
      <c r="AT91" s="66"/>
      <c r="AU91" s="66"/>
      <c r="AV91" s="66"/>
      <c r="AW91" s="66"/>
      <c r="AX91" s="66"/>
    </row>
    <row r="92" spans="1:50" x14ac:dyDescent="0.2">
      <c r="A92" s="23">
        <v>1.9105331158571019</v>
      </c>
      <c r="B92" s="24">
        <v>0.27173684852756375</v>
      </c>
      <c r="D92" s="118">
        <v>5.0428096519578497E-2</v>
      </c>
      <c r="E92" s="118">
        <v>5.2163936775241268E-2</v>
      </c>
      <c r="F92" s="118">
        <v>-0.14408923865572726</v>
      </c>
      <c r="G92" s="118">
        <v>-2.5667754938624877E-2</v>
      </c>
      <c r="H92" s="118">
        <v>6.1224523011863555E-2</v>
      </c>
      <c r="M92" s="66"/>
      <c r="N92" s="66"/>
      <c r="O92" s="66"/>
      <c r="P92" s="66"/>
      <c r="Q92" s="66"/>
      <c r="R92" s="66"/>
      <c r="S92" s="66"/>
      <c r="T92" s="66"/>
      <c r="W92" s="66"/>
      <c r="X92" s="66"/>
      <c r="Y92" s="66"/>
      <c r="Z92" s="66"/>
      <c r="AA92" s="66"/>
      <c r="AB92" s="66"/>
      <c r="AC92" s="66"/>
      <c r="AD92" s="66"/>
      <c r="AG92" s="66"/>
      <c r="AH92" s="66"/>
      <c r="AI92" s="66"/>
      <c r="AJ92" s="66"/>
      <c r="AK92" s="66"/>
      <c r="AL92" s="66"/>
      <c r="AM92" s="66"/>
      <c r="AN92" s="66"/>
      <c r="AQ92" s="66"/>
      <c r="AR92" s="66"/>
      <c r="AS92" s="66"/>
      <c r="AT92" s="66"/>
      <c r="AU92" s="66"/>
      <c r="AV92" s="66"/>
      <c r="AW92" s="66"/>
      <c r="AX92" s="66"/>
    </row>
    <row r="93" spans="1:50" x14ac:dyDescent="0.2">
      <c r="A93" s="23">
        <v>1.9589796952641654</v>
      </c>
      <c r="B93" s="24">
        <v>0.22703749795864994</v>
      </c>
      <c r="D93" s="118">
        <v>1.1060649195259101E-2</v>
      </c>
      <c r="E93" s="118">
        <v>0.12122039685366863</v>
      </c>
      <c r="F93" s="118">
        <v>-2.5285979455111213E-2</v>
      </c>
      <c r="G93" s="118">
        <v>-3.3463835354424959E-2</v>
      </c>
      <c r="H93" s="118">
        <v>0</v>
      </c>
      <c r="M93" s="66"/>
      <c r="N93" s="66"/>
      <c r="O93" s="66"/>
      <c r="P93" s="66"/>
      <c r="Q93" s="66"/>
      <c r="R93" s="66"/>
      <c r="S93" s="66"/>
      <c r="T93" s="66"/>
      <c r="W93" s="66"/>
      <c r="X93" s="66"/>
      <c r="Y93" s="66"/>
      <c r="Z93" s="66"/>
      <c r="AA93" s="66"/>
      <c r="AB93" s="66"/>
      <c r="AC93" s="66"/>
      <c r="AD93" s="66"/>
      <c r="AG93" s="66"/>
      <c r="AH93" s="66"/>
      <c r="AI93" s="66"/>
      <c r="AJ93" s="66"/>
      <c r="AK93" s="66"/>
      <c r="AL93" s="66"/>
      <c r="AM93" s="66"/>
      <c r="AN93" s="66"/>
      <c r="AQ93" s="66"/>
      <c r="AR93" s="66"/>
      <c r="AS93" s="66"/>
      <c r="AT93" s="66"/>
      <c r="AU93" s="66"/>
      <c r="AV93" s="66"/>
      <c r="AW93" s="66"/>
      <c r="AX93" s="66"/>
    </row>
    <row r="94" spans="1:50" x14ac:dyDescent="0.2">
      <c r="A94" s="23">
        <v>2.3801498850101259</v>
      </c>
      <c r="B94" s="24">
        <v>0.42970901893075492</v>
      </c>
      <c r="D94" s="118">
        <v>3.5987723516956123E-2</v>
      </c>
      <c r="E94" s="118">
        <v>0.10204083446421877</v>
      </c>
      <c r="F94" s="118">
        <v>2.8545955296941823E-3</v>
      </c>
      <c r="G94" s="118">
        <v>2.4677721121020544E-2</v>
      </c>
      <c r="H94" s="118">
        <v>5.5340407917876151E-2</v>
      </c>
      <c r="M94" s="66"/>
      <c r="N94" s="81"/>
      <c r="O94" s="66"/>
      <c r="P94" s="66"/>
      <c r="Q94" s="66"/>
      <c r="R94" s="66"/>
      <c r="S94" s="66"/>
      <c r="T94" s="66"/>
      <c r="W94" s="66"/>
      <c r="X94" s="81"/>
      <c r="Y94" s="66"/>
      <c r="Z94" s="66"/>
      <c r="AA94" s="66"/>
      <c r="AB94" s="66"/>
      <c r="AC94" s="66"/>
      <c r="AD94" s="66"/>
      <c r="AG94" s="66"/>
      <c r="AH94" s="81"/>
      <c r="AI94" s="66"/>
      <c r="AJ94" s="66"/>
      <c r="AK94" s="66"/>
      <c r="AL94" s="66"/>
      <c r="AM94" s="66"/>
      <c r="AN94" s="66"/>
      <c r="AQ94" s="66"/>
      <c r="AR94" s="81"/>
      <c r="AS94" s="66"/>
      <c r="AT94" s="66"/>
      <c r="AU94" s="66"/>
      <c r="AV94" s="66"/>
      <c r="AW94" s="66"/>
      <c r="AX94" s="66"/>
    </row>
    <row r="95" spans="1:50" x14ac:dyDescent="0.2">
      <c r="A95" s="23">
        <v>1.9304246894539465</v>
      </c>
      <c r="B95" s="24">
        <v>0.30480997917400865</v>
      </c>
      <c r="D95" s="118">
        <v>1.8085767859252408E-2</v>
      </c>
      <c r="E95" s="118">
        <v>2.3148103005656534E-2</v>
      </c>
      <c r="F95" s="118">
        <v>2.710432877815493E-4</v>
      </c>
      <c r="G95" s="118">
        <v>0.10855494065564994</v>
      </c>
      <c r="H95" s="118">
        <v>8.7805926470936269E-2</v>
      </c>
      <c r="M95" s="66"/>
      <c r="N95" s="66"/>
      <c r="O95" s="66"/>
      <c r="P95" s="66"/>
      <c r="Q95" s="66"/>
      <c r="R95" s="66"/>
      <c r="S95" s="66"/>
      <c r="T95" s="66"/>
      <c r="W95" s="66"/>
      <c r="X95" s="66"/>
      <c r="Y95" s="66"/>
      <c r="Z95" s="66"/>
      <c r="AA95" s="66"/>
      <c r="AB95" s="66"/>
      <c r="AC95" s="66"/>
      <c r="AD95" s="66"/>
      <c r="AG95" s="66"/>
      <c r="AH95" s="66"/>
      <c r="AI95" s="66"/>
      <c r="AJ95" s="66"/>
      <c r="AK95" s="66"/>
      <c r="AL95" s="66"/>
      <c r="AM95" s="66"/>
      <c r="AN95" s="66"/>
      <c r="AQ95" s="66"/>
      <c r="AR95" s="66"/>
      <c r="AS95" s="66"/>
      <c r="AT95" s="66"/>
      <c r="AU95" s="66"/>
      <c r="AV95" s="66"/>
      <c r="AW95" s="66"/>
      <c r="AX95" s="66"/>
    </row>
    <row r="96" spans="1:50" x14ac:dyDescent="0.2">
      <c r="A96" s="23">
        <v>1.9886870813054971</v>
      </c>
      <c r="B96" s="24">
        <v>0.33488835442029585</v>
      </c>
      <c r="D96" s="118">
        <v>2.0762811721046208E-2</v>
      </c>
      <c r="E96" s="118">
        <v>-7.7569396078684988E-2</v>
      </c>
      <c r="F96" s="118">
        <v>2.241919003825937E-2</v>
      </c>
      <c r="G96" s="118">
        <v>9.8897560803091256E-2</v>
      </c>
      <c r="H96" s="118">
        <v>-7.2873606510751615E-2</v>
      </c>
      <c r="M96" s="66"/>
      <c r="N96" s="81"/>
      <c r="O96" s="66"/>
      <c r="P96" s="66"/>
      <c r="Q96" s="66"/>
      <c r="R96" s="66"/>
      <c r="S96" s="66"/>
      <c r="T96" s="66"/>
      <c r="W96" s="66"/>
      <c r="X96" s="81"/>
      <c r="Y96" s="66"/>
      <c r="Z96" s="66"/>
      <c r="AA96" s="66"/>
      <c r="AB96" s="66"/>
      <c r="AC96" s="66"/>
      <c r="AD96" s="66"/>
      <c r="AG96" s="66"/>
      <c r="AH96" s="81"/>
      <c r="AI96" s="66"/>
      <c r="AJ96" s="66"/>
      <c r="AK96" s="66"/>
      <c r="AL96" s="66"/>
      <c r="AM96" s="66"/>
      <c r="AN96" s="66"/>
      <c r="AQ96" s="66"/>
      <c r="AR96" s="81"/>
      <c r="AS96" s="66"/>
      <c r="AT96" s="66"/>
      <c r="AU96" s="66"/>
      <c r="AV96" s="66"/>
      <c r="AW96" s="66"/>
      <c r="AX96" s="66"/>
    </row>
    <row r="97" spans="1:50" x14ac:dyDescent="0.2">
      <c r="A97" s="23">
        <v>4.1080900059657592</v>
      </c>
      <c r="B97" s="24">
        <v>0.67215752829564979</v>
      </c>
      <c r="D97" s="118">
        <v>-1.4999301636062792E-2</v>
      </c>
      <c r="E97" s="118">
        <v>4.6250867471441165E-2</v>
      </c>
      <c r="F97" s="118">
        <v>-0.11829318928957727</v>
      </c>
      <c r="G97" s="118">
        <v>-1.7114139751401435E-2</v>
      </c>
      <c r="H97" s="118">
        <v>2.8583151090254864E-2</v>
      </c>
      <c r="M97" s="66"/>
      <c r="N97" s="81"/>
      <c r="O97" s="66"/>
      <c r="P97" s="66"/>
      <c r="Q97" s="66"/>
      <c r="R97" s="66"/>
      <c r="S97" s="66"/>
      <c r="T97" s="66"/>
      <c r="W97" s="66"/>
      <c r="X97" s="81"/>
      <c r="Y97" s="66"/>
      <c r="Z97" s="66"/>
      <c r="AA97" s="66"/>
      <c r="AB97" s="66"/>
      <c r="AC97" s="66"/>
      <c r="AD97" s="66"/>
      <c r="AG97" s="66"/>
      <c r="AH97" s="81"/>
      <c r="AI97" s="66"/>
      <c r="AJ97" s="66"/>
      <c r="AK97" s="66"/>
      <c r="AL97" s="66"/>
      <c r="AM97" s="66"/>
      <c r="AN97" s="66"/>
      <c r="AQ97" s="66"/>
      <c r="AR97" s="81"/>
      <c r="AS97" s="66"/>
      <c r="AT97" s="66"/>
      <c r="AU97" s="66"/>
      <c r="AV97" s="66"/>
      <c r="AW97" s="66"/>
      <c r="AX97" s="66"/>
    </row>
    <row r="98" spans="1:50" x14ac:dyDescent="0.2">
      <c r="A98" s="23">
        <v>3.1063425079375824</v>
      </c>
      <c r="B98" s="24">
        <v>0.5423121130905354</v>
      </c>
      <c r="D98" s="118">
        <v>4.9462079815225081E-2</v>
      </c>
      <c r="E98" s="118">
        <v>5.1654783869239655E-2</v>
      </c>
      <c r="F98" s="118">
        <v>0.14122500467437421</v>
      </c>
      <c r="G98" s="118">
        <v>7.6853721357126759E-2</v>
      </c>
      <c r="H98" s="118">
        <v>3.4988456801218907E-3</v>
      </c>
      <c r="M98" s="66"/>
      <c r="N98" s="81"/>
      <c r="O98" s="66"/>
      <c r="P98" s="66"/>
      <c r="Q98" s="66"/>
      <c r="R98" s="66"/>
      <c r="S98" s="66"/>
      <c r="T98" s="66"/>
      <c r="W98" s="66"/>
      <c r="X98" s="81"/>
      <c r="Y98" s="66"/>
      <c r="Z98" s="66"/>
      <c r="AA98" s="66"/>
      <c r="AB98" s="66"/>
      <c r="AC98" s="66"/>
      <c r="AD98" s="66"/>
      <c r="AG98" s="66"/>
      <c r="AH98" s="81"/>
      <c r="AI98" s="66"/>
      <c r="AJ98" s="66"/>
      <c r="AK98" s="66"/>
      <c r="AL98" s="66"/>
      <c r="AM98" s="66"/>
      <c r="AN98" s="66"/>
      <c r="AQ98" s="66"/>
      <c r="AR98" s="81"/>
      <c r="AS98" s="66"/>
      <c r="AT98" s="66"/>
      <c r="AU98" s="66"/>
      <c r="AV98" s="66"/>
      <c r="AW98" s="66"/>
      <c r="AX98" s="66"/>
    </row>
    <row r="99" spans="1:50" x14ac:dyDescent="0.2">
      <c r="A99" s="23">
        <v>2.9843776975253138</v>
      </c>
      <c r="B99" s="24">
        <v>0.52518284073046784</v>
      </c>
      <c r="D99" s="118">
        <v>-3.1298019033866906E-2</v>
      </c>
      <c r="E99" s="118">
        <v>-7.7350391426754525E-2</v>
      </c>
      <c r="F99" s="118">
        <v>8.376686624834781E-2</v>
      </c>
      <c r="G99" s="118">
        <v>-4.9902355139033468E-2</v>
      </c>
      <c r="H99" s="118">
        <v>-9.8714334336891155E-2</v>
      </c>
      <c r="M99" s="66"/>
      <c r="N99" s="81"/>
      <c r="O99" s="66"/>
      <c r="P99" s="66"/>
      <c r="Q99" s="66"/>
      <c r="R99" s="66"/>
      <c r="S99" s="66"/>
      <c r="T99" s="66"/>
      <c r="W99" s="66"/>
      <c r="X99" s="81"/>
      <c r="Y99" s="66"/>
      <c r="Z99" s="66"/>
      <c r="AA99" s="66"/>
      <c r="AB99" s="66"/>
      <c r="AC99" s="66"/>
      <c r="AD99" s="66"/>
      <c r="AG99" s="66"/>
      <c r="AH99" s="81"/>
      <c r="AI99" s="66"/>
      <c r="AJ99" s="66"/>
      <c r="AK99" s="66"/>
      <c r="AL99" s="66"/>
      <c r="AM99" s="66"/>
      <c r="AN99" s="66"/>
      <c r="AQ99" s="66"/>
      <c r="AR99" s="81"/>
      <c r="AS99" s="66"/>
      <c r="AT99" s="66"/>
      <c r="AU99" s="66"/>
      <c r="AV99" s="66"/>
      <c r="AW99" s="66"/>
      <c r="AX99" s="66"/>
    </row>
    <row r="100" spans="1:50" x14ac:dyDescent="0.2">
      <c r="A100" s="23">
        <v>1.9814713651123308</v>
      </c>
      <c r="B100" s="24">
        <v>0.21693930301366096</v>
      </c>
      <c r="D100" s="118">
        <v>2.9749523177239098E-2</v>
      </c>
      <c r="E100" s="118">
        <v>-5.7202482247515528E-2</v>
      </c>
      <c r="F100" s="118">
        <v>-2.1489348730723831E-2</v>
      </c>
      <c r="G100" s="118">
        <v>5.5457735670534913E-2</v>
      </c>
      <c r="H100" s="118">
        <v>2.3106820113223396E-4</v>
      </c>
      <c r="M100" s="66"/>
      <c r="N100" s="81"/>
      <c r="O100" s="66"/>
      <c r="P100" s="66"/>
      <c r="Q100" s="66"/>
      <c r="R100" s="66"/>
      <c r="S100" s="66"/>
      <c r="T100" s="66"/>
      <c r="W100" s="66"/>
      <c r="X100" s="81"/>
      <c r="Y100" s="66"/>
      <c r="Z100" s="66"/>
      <c r="AA100" s="66"/>
      <c r="AB100" s="66"/>
      <c r="AC100" s="66"/>
      <c r="AD100" s="66"/>
      <c r="AG100" s="66"/>
      <c r="AH100" s="81"/>
      <c r="AI100" s="66"/>
      <c r="AJ100" s="66"/>
      <c r="AK100" s="66"/>
      <c r="AL100" s="66"/>
      <c r="AM100" s="66"/>
      <c r="AN100" s="66"/>
      <c r="AQ100" s="66"/>
      <c r="AR100" s="81"/>
      <c r="AS100" s="66"/>
      <c r="AT100" s="66"/>
      <c r="AU100" s="66"/>
      <c r="AV100" s="66"/>
      <c r="AW100" s="66"/>
      <c r="AX100" s="66"/>
    </row>
    <row r="101" spans="1:50" x14ac:dyDescent="0.2">
      <c r="A101" s="23">
        <v>2.2115520335928385</v>
      </c>
      <c r="B101" s="24">
        <v>0.39630066356682675</v>
      </c>
      <c r="D101" s="118">
        <v>4.45957526180061E-2</v>
      </c>
      <c r="E101" s="118">
        <v>5.3733296413775319E-2</v>
      </c>
      <c r="F101" s="118">
        <v>9.6381725146357747E-2</v>
      </c>
      <c r="G101" s="118">
        <v>2.7244938954696925E-2</v>
      </c>
      <c r="H101" s="118">
        <v>2.2727306665289153E-2</v>
      </c>
      <c r="M101" s="66"/>
      <c r="N101" s="66"/>
      <c r="O101" s="66"/>
      <c r="P101" s="66"/>
      <c r="Q101" s="66"/>
      <c r="R101" s="66"/>
      <c r="S101" s="66"/>
      <c r="T101" s="66"/>
      <c r="W101" s="66"/>
      <c r="X101" s="66"/>
      <c r="Y101" s="66"/>
      <c r="Z101" s="66"/>
      <c r="AA101" s="66"/>
      <c r="AB101" s="66"/>
      <c r="AC101" s="66"/>
      <c r="AD101" s="66"/>
      <c r="AG101" s="66"/>
      <c r="AH101" s="66"/>
      <c r="AI101" s="66"/>
      <c r="AJ101" s="66"/>
      <c r="AK101" s="66"/>
      <c r="AL101" s="66"/>
      <c r="AM101" s="66"/>
      <c r="AN101" s="66"/>
      <c r="AQ101" s="66"/>
      <c r="AR101" s="66"/>
      <c r="AS101" s="66"/>
      <c r="AT101" s="66"/>
      <c r="AU101" s="66"/>
      <c r="AV101" s="66"/>
      <c r="AW101" s="66"/>
      <c r="AX101" s="66"/>
    </row>
    <row r="102" spans="1:50" x14ac:dyDescent="0.2">
      <c r="A102" s="23">
        <v>2.3437264766876278</v>
      </c>
      <c r="B102" s="24">
        <v>0.42293495494135391</v>
      </c>
      <c r="D102" s="118">
        <v>2.8049471635186524E-2</v>
      </c>
      <c r="E102" s="118">
        <v>-9.0204337411906838E-2</v>
      </c>
      <c r="F102" s="118">
        <v>7.0052712871031084E-2</v>
      </c>
      <c r="G102" s="118">
        <v>4.8173187726362095E-2</v>
      </c>
      <c r="H102" s="118">
        <v>-3.5364406132794873E-2</v>
      </c>
      <c r="M102" s="66"/>
      <c r="N102" s="66"/>
      <c r="O102" s="66"/>
      <c r="P102" s="66"/>
      <c r="Q102" s="66"/>
      <c r="R102" s="66"/>
      <c r="S102" s="66"/>
      <c r="T102" s="66"/>
      <c r="W102" s="66"/>
      <c r="X102" s="66"/>
      <c r="Y102" s="66"/>
      <c r="Z102" s="66"/>
      <c r="AA102" s="66"/>
      <c r="AB102" s="66"/>
      <c r="AC102" s="66"/>
      <c r="AD102" s="66"/>
      <c r="AG102" s="66"/>
      <c r="AH102" s="66"/>
      <c r="AI102" s="66"/>
      <c r="AJ102" s="66"/>
      <c r="AK102" s="66"/>
      <c r="AL102" s="66"/>
      <c r="AM102" s="66"/>
      <c r="AN102" s="66"/>
      <c r="AQ102" s="66"/>
      <c r="AR102" s="66"/>
      <c r="AS102" s="66"/>
      <c r="AT102" s="66"/>
      <c r="AU102" s="66"/>
      <c r="AV102" s="66"/>
      <c r="AW102" s="66"/>
      <c r="AX102" s="66"/>
    </row>
    <row r="103" spans="1:50" x14ac:dyDescent="0.2">
      <c r="A103" s="23">
        <v>2.0601007659746116</v>
      </c>
      <c r="B103" s="24">
        <v>0.19014804366190924</v>
      </c>
      <c r="D103" s="118">
        <v>2.3562791550492821E-2</v>
      </c>
      <c r="E103" s="118">
        <v>0.11747988916468179</v>
      </c>
      <c r="F103" s="118">
        <v>8.9017618165607229E-3</v>
      </c>
      <c r="G103" s="118">
        <v>5.5254271840902897E-2</v>
      </c>
      <c r="H103" s="118">
        <v>9.0906155409447992E-3</v>
      </c>
      <c r="M103" s="66"/>
      <c r="N103" s="66"/>
      <c r="O103" s="66"/>
      <c r="P103" s="66"/>
      <c r="Q103" s="66"/>
      <c r="R103" s="66"/>
      <c r="S103" s="66"/>
      <c r="T103" s="66"/>
      <c r="W103" s="66"/>
      <c r="X103" s="66"/>
      <c r="Y103" s="66"/>
      <c r="Z103" s="66"/>
      <c r="AA103" s="66"/>
      <c r="AB103" s="66"/>
      <c r="AC103" s="66"/>
      <c r="AD103" s="66"/>
      <c r="AG103" s="66"/>
      <c r="AH103" s="66"/>
      <c r="AI103" s="66"/>
      <c r="AJ103" s="66"/>
      <c r="AK103" s="66"/>
      <c r="AL103" s="66"/>
      <c r="AM103" s="66"/>
      <c r="AN103" s="66"/>
      <c r="AQ103" s="66"/>
      <c r="AR103" s="66"/>
      <c r="AS103" s="66"/>
      <c r="AT103" s="66"/>
      <c r="AU103" s="66"/>
      <c r="AV103" s="66"/>
      <c r="AW103" s="66"/>
      <c r="AX103" s="66"/>
    </row>
    <row r="104" spans="1:50" x14ac:dyDescent="0.2">
      <c r="A104" s="23">
        <v>2.3255534964155746</v>
      </c>
      <c r="B104" s="24">
        <v>0.41947772529616906</v>
      </c>
      <c r="D104" s="118">
        <v>-3.5582905675162646E-2</v>
      </c>
      <c r="E104" s="118">
        <v>-4.0875310683240622E-2</v>
      </c>
      <c r="F104" s="118">
        <v>-0.10769674524377233</v>
      </c>
      <c r="G104" s="118">
        <v>-0.11720082273124734</v>
      </c>
      <c r="H104" s="118">
        <v>4.6425030798226033E-2</v>
      </c>
      <c r="M104" s="66"/>
      <c r="N104" s="66"/>
      <c r="O104" s="66"/>
      <c r="P104" s="66"/>
      <c r="Q104" s="66"/>
      <c r="R104" s="66"/>
      <c r="S104" s="66"/>
      <c r="T104" s="66"/>
      <c r="W104" s="66"/>
      <c r="X104" s="66"/>
      <c r="Y104" s="66"/>
      <c r="Z104" s="66"/>
      <c r="AA104" s="66"/>
      <c r="AB104" s="66"/>
      <c r="AC104" s="66"/>
      <c r="AD104" s="66"/>
      <c r="AG104" s="66"/>
      <c r="AH104" s="66"/>
      <c r="AI104" s="66"/>
      <c r="AJ104" s="66"/>
      <c r="AK104" s="66"/>
      <c r="AL104" s="66"/>
      <c r="AM104" s="66"/>
      <c r="AN104" s="66"/>
      <c r="AQ104" s="66"/>
      <c r="AR104" s="66"/>
      <c r="AS104" s="66"/>
      <c r="AT104" s="66"/>
      <c r="AU104" s="66"/>
      <c r="AV104" s="66"/>
      <c r="AW104" s="66"/>
      <c r="AX104" s="66"/>
    </row>
    <row r="105" spans="1:50" x14ac:dyDescent="0.2">
      <c r="A105" s="23">
        <v>3.8022836186763485</v>
      </c>
      <c r="B105" s="24">
        <v>0.63395578861338853</v>
      </c>
      <c r="D105" s="118">
        <v>4.3117029976595334E-2</v>
      </c>
      <c r="E105" s="118">
        <v>5.0958531444330407E-2</v>
      </c>
      <c r="F105" s="118">
        <v>5.7510921180773437E-2</v>
      </c>
      <c r="G105" s="118">
        <v>3.3259296331393899E-3</v>
      </c>
      <c r="H105" s="118">
        <v>4.5314380220818955E-2</v>
      </c>
      <c r="M105" s="66"/>
      <c r="N105" s="66"/>
      <c r="O105" s="66"/>
      <c r="P105" s="66"/>
      <c r="Q105" s="66"/>
      <c r="R105" s="66"/>
      <c r="S105" s="66"/>
      <c r="T105" s="66"/>
      <c r="W105" s="66"/>
      <c r="X105" s="66"/>
      <c r="Y105" s="66"/>
      <c r="Z105" s="66"/>
      <c r="AA105" s="66"/>
      <c r="AB105" s="66"/>
      <c r="AC105" s="66"/>
      <c r="AD105" s="66"/>
      <c r="AG105" s="66"/>
      <c r="AH105" s="66"/>
      <c r="AI105" s="66"/>
      <c r="AJ105" s="66"/>
      <c r="AK105" s="66"/>
      <c r="AL105" s="66"/>
      <c r="AM105" s="66"/>
      <c r="AN105" s="66"/>
      <c r="AQ105" s="66"/>
      <c r="AR105" s="66"/>
      <c r="AS105" s="66"/>
      <c r="AT105" s="66"/>
      <c r="AU105" s="66"/>
      <c r="AV105" s="66"/>
      <c r="AW105" s="66"/>
      <c r="AX105" s="66"/>
    </row>
    <row r="106" spans="1:50" x14ac:dyDescent="0.2">
      <c r="A106" s="23">
        <v>2.3039715615536007</v>
      </c>
      <c r="B106" s="24">
        <v>0.13362520740702463</v>
      </c>
      <c r="D106" s="118">
        <v>6.9321656079357136E-3</v>
      </c>
      <c r="E106" s="118">
        <v>3.6250316509868805E-2</v>
      </c>
      <c r="F106" s="118">
        <v>1.9952830551754633E-2</v>
      </c>
      <c r="G106" s="118">
        <v>-4.0729551861927088E-2</v>
      </c>
      <c r="H106" s="118">
        <v>-9.3393038825795339E-3</v>
      </c>
      <c r="M106" s="66"/>
      <c r="N106" s="66"/>
      <c r="O106" s="66"/>
      <c r="P106" s="66"/>
      <c r="Q106" s="66"/>
      <c r="R106" s="66"/>
      <c r="S106" s="66"/>
      <c r="T106" s="66"/>
      <c r="W106" s="66"/>
      <c r="X106" s="66"/>
      <c r="Y106" s="66"/>
      <c r="Z106" s="66"/>
      <c r="AA106" s="66"/>
      <c r="AB106" s="66"/>
      <c r="AC106" s="66"/>
      <c r="AD106" s="66"/>
      <c r="AG106" s="66"/>
      <c r="AH106" s="66"/>
      <c r="AI106" s="66"/>
      <c r="AJ106" s="66"/>
      <c r="AK106" s="66"/>
      <c r="AL106" s="66"/>
      <c r="AM106" s="66"/>
      <c r="AN106" s="66"/>
      <c r="AQ106" s="66"/>
      <c r="AR106" s="66"/>
      <c r="AS106" s="66"/>
      <c r="AT106" s="66"/>
      <c r="AU106" s="66"/>
      <c r="AV106" s="66"/>
      <c r="AW106" s="66"/>
      <c r="AX106" s="66"/>
    </row>
    <row r="107" spans="1:50" x14ac:dyDescent="0.2">
      <c r="A107" s="23">
        <v>2.9002819708428871</v>
      </c>
      <c r="B107" s="24">
        <v>0.51309022100510637</v>
      </c>
      <c r="D107" s="118">
        <v>6.2007889650527552E-3</v>
      </c>
      <c r="E107" s="118">
        <v>2.068908427765663E-2</v>
      </c>
      <c r="F107" s="118">
        <v>9.9396380800342674E-2</v>
      </c>
      <c r="G107" s="118">
        <v>1.7432340211010946E-3</v>
      </c>
      <c r="H107" s="118">
        <v>5.5092638567192466E-2</v>
      </c>
      <c r="M107" s="66"/>
      <c r="N107" s="66"/>
      <c r="O107" s="66"/>
      <c r="P107" s="66"/>
      <c r="Q107" s="66"/>
      <c r="R107" s="66"/>
      <c r="S107" s="66"/>
      <c r="T107" s="66"/>
      <c r="W107" s="66"/>
      <c r="X107" s="66"/>
      <c r="Y107" s="66"/>
      <c r="Z107" s="66"/>
      <c r="AA107" s="66"/>
      <c r="AB107" s="66"/>
      <c r="AC107" s="66"/>
      <c r="AD107" s="66"/>
      <c r="AG107" s="66"/>
      <c r="AH107" s="66"/>
      <c r="AI107" s="66"/>
      <c r="AJ107" s="66"/>
      <c r="AK107" s="66"/>
      <c r="AL107" s="66"/>
      <c r="AM107" s="66"/>
      <c r="AN107" s="66"/>
      <c r="AQ107" s="66"/>
      <c r="AR107" s="66"/>
      <c r="AS107" s="66"/>
      <c r="AT107" s="66"/>
      <c r="AU107" s="66"/>
      <c r="AV107" s="66"/>
      <c r="AW107" s="66"/>
      <c r="AX107" s="66"/>
    </row>
    <row r="108" spans="1:50" x14ac:dyDescent="0.2">
      <c r="A108" s="23">
        <v>4.8758091717235557</v>
      </c>
      <c r="B108" s="24">
        <v>0.76500726167056443</v>
      </c>
      <c r="D108" s="118">
        <v>2.103028001299596E-2</v>
      </c>
      <c r="E108" s="118">
        <v>9.0129368768258698E-3</v>
      </c>
      <c r="F108" s="118">
        <v>7.8709326489183287E-2</v>
      </c>
      <c r="G108" s="118">
        <v>2.9003121633266278E-3</v>
      </c>
      <c r="H108" s="118">
        <v>6.3623447615064801E-3</v>
      </c>
      <c r="M108" s="66"/>
      <c r="N108" s="66"/>
      <c r="O108" s="66"/>
      <c r="P108" s="66"/>
      <c r="Q108" s="66"/>
      <c r="R108" s="66"/>
      <c r="S108" s="66"/>
      <c r="T108" s="66"/>
      <c r="W108" s="66"/>
      <c r="X108" s="66"/>
      <c r="Y108" s="66"/>
      <c r="Z108" s="66"/>
      <c r="AA108" s="66"/>
      <c r="AB108" s="66"/>
      <c r="AC108" s="66"/>
      <c r="AD108" s="66"/>
      <c r="AG108" s="66"/>
      <c r="AH108" s="66"/>
      <c r="AI108" s="66"/>
      <c r="AJ108" s="66"/>
      <c r="AK108" s="66"/>
      <c r="AL108" s="66"/>
      <c r="AM108" s="66"/>
      <c r="AN108" s="66"/>
      <c r="AQ108" s="66"/>
      <c r="AR108" s="66"/>
      <c r="AS108" s="66"/>
      <c r="AT108" s="66"/>
      <c r="AU108" s="66"/>
      <c r="AV108" s="66"/>
      <c r="AW108" s="66"/>
      <c r="AX108" s="66"/>
    </row>
    <row r="109" spans="1:50" x14ac:dyDescent="0.2">
      <c r="A109" s="23">
        <v>1.9134412920122441</v>
      </c>
      <c r="B109" s="24">
        <v>0.28631086461831656</v>
      </c>
      <c r="D109" s="118">
        <v>1.9058331658920603E-2</v>
      </c>
      <c r="E109" s="118">
        <v>-1.9607714716824705E-3</v>
      </c>
      <c r="F109" s="118">
        <v>2.7661867543386329E-2</v>
      </c>
      <c r="G109" s="118">
        <v>5.8494769033053132E-2</v>
      </c>
      <c r="H109" s="118">
        <v>5.6996599381688634E-2</v>
      </c>
    </row>
    <row r="110" spans="1:50" x14ac:dyDescent="0.2">
      <c r="A110" s="23">
        <v>2.9621071747039909</v>
      </c>
      <c r="B110" s="24">
        <v>0.52200468244342069</v>
      </c>
      <c r="D110" s="118">
        <v>-1.5079830581919834E-2</v>
      </c>
      <c r="E110" s="118">
        <v>-8.5945434234583645E-2</v>
      </c>
      <c r="F110" s="118">
        <v>2.8731287932777815E-2</v>
      </c>
      <c r="G110" s="118">
        <v>-6.8319604978047357E-2</v>
      </c>
      <c r="H110" s="118">
        <v>-6.9762631678673373E-2</v>
      </c>
    </row>
    <row r="111" spans="1:50" x14ac:dyDescent="0.2">
      <c r="A111" s="23">
        <v>1.9184917005436768</v>
      </c>
      <c r="B111" s="24">
        <v>0.25517915019687387</v>
      </c>
      <c r="D111" s="118">
        <v>3.7655295489735195E-2</v>
      </c>
      <c r="E111" s="118">
        <v>7.766289145709139E-2</v>
      </c>
      <c r="F111" s="118">
        <v>7.7508863992752711E-2</v>
      </c>
      <c r="G111" s="118">
        <v>2.8976955942864618E-2</v>
      </c>
      <c r="H111" s="118">
        <v>4.051934224616989E-2</v>
      </c>
      <c r="M111" t="s">
        <v>76</v>
      </c>
      <c r="W111" t="s">
        <v>76</v>
      </c>
      <c r="AG111" t="s">
        <v>76</v>
      </c>
      <c r="AQ111" t="s">
        <v>76</v>
      </c>
    </row>
    <row r="112" spans="1:50" ht="13.5" thickBot="1" x14ac:dyDescent="0.25">
      <c r="A112" s="23">
        <v>3.3489522300062635</v>
      </c>
      <c r="B112" s="24">
        <v>0.57524545018912709</v>
      </c>
      <c r="D112" s="118">
        <v>-1.5513837223063749E-2</v>
      </c>
      <c r="E112" s="118">
        <v>-4.6631004438341908E-2</v>
      </c>
      <c r="F112" s="118">
        <v>-1.7073183932499778E-2</v>
      </c>
      <c r="G112" s="118">
        <v>-7.4151656596224913E-2</v>
      </c>
      <c r="H112" s="118">
        <v>-2.1011505918819905E-2</v>
      </c>
    </row>
    <row r="113" spans="1:51" x14ac:dyDescent="0.2">
      <c r="A113" s="23">
        <v>2.008210666271117</v>
      </c>
      <c r="B113" s="24">
        <v>0.20675291251184194</v>
      </c>
      <c r="D113" s="118">
        <v>2.3201460786772227E-2</v>
      </c>
      <c r="E113" s="118">
        <v>4.1379260943975475E-2</v>
      </c>
      <c r="F113" s="118">
        <v>7.1960280022456719E-2</v>
      </c>
      <c r="G113" s="118">
        <v>-1.6906718147520768E-2</v>
      </c>
      <c r="H113" s="118">
        <v>0.1172291133512217</v>
      </c>
      <c r="M113" s="128" t="s">
        <v>77</v>
      </c>
      <c r="N113" s="128"/>
      <c r="W113" s="128" t="s">
        <v>77</v>
      </c>
      <c r="X113" s="128"/>
      <c r="AG113" s="128" t="s">
        <v>77</v>
      </c>
      <c r="AH113" s="128"/>
      <c r="AQ113" s="128" t="s">
        <v>77</v>
      </c>
      <c r="AR113" s="128"/>
    </row>
    <row r="114" spans="1:51" x14ac:dyDescent="0.2">
      <c r="A114" s="23">
        <v>2.5327036442615336</v>
      </c>
      <c r="B114" s="24">
        <v>0.4562958318615627</v>
      </c>
      <c r="D114" s="118">
        <v>2.4533588760364766E-2</v>
      </c>
      <c r="E114" s="118">
        <v>2.513015389986455E-2</v>
      </c>
      <c r="F114" s="118">
        <v>0.10597879627643625</v>
      </c>
      <c r="G114" s="118">
        <v>6.4649674997443521E-2</v>
      </c>
      <c r="H114" s="118">
        <v>3.5770911181151463E-3</v>
      </c>
      <c r="M114" s="37" t="s">
        <v>78</v>
      </c>
      <c r="N114" s="37">
        <v>0.22359945612050774</v>
      </c>
      <c r="W114" s="37" t="s">
        <v>78</v>
      </c>
      <c r="X114" s="37">
        <v>0.51724296476352771</v>
      </c>
      <c r="AG114" s="37" t="s">
        <v>78</v>
      </c>
      <c r="AH114" s="37">
        <v>0.58672865553371811</v>
      </c>
      <c r="AQ114" s="37" t="s">
        <v>78</v>
      </c>
      <c r="AR114" s="37">
        <v>0.12720140325843818</v>
      </c>
    </row>
    <row r="115" spans="1:51" x14ac:dyDescent="0.2">
      <c r="A115" s="23">
        <v>3.7046852766854048</v>
      </c>
      <c r="B115" s="24">
        <v>0.62155685171081865</v>
      </c>
      <c r="D115" s="118">
        <v>-4.1885878779204062E-3</v>
      </c>
      <c r="E115" s="118">
        <v>-2.8268520894824359E-2</v>
      </c>
      <c r="F115" s="118">
        <v>-7.1891059126717505E-2</v>
      </c>
      <c r="G115" s="118">
        <v>5.3587164616566693E-2</v>
      </c>
      <c r="H115" s="118">
        <v>6.3074452436620576E-2</v>
      </c>
      <c r="M115" s="37" t="s">
        <v>79</v>
      </c>
      <c r="N115" s="37">
        <v>4.9996716777386867E-2</v>
      </c>
      <c r="W115" s="37" t="s">
        <v>79</v>
      </c>
      <c r="X115" s="37">
        <v>0.26754028459736395</v>
      </c>
      <c r="AG115" s="37" t="s">
        <v>79</v>
      </c>
      <c r="AH115" s="37">
        <v>0.34425051522440447</v>
      </c>
      <c r="AQ115" s="37" t="s">
        <v>79</v>
      </c>
      <c r="AR115" s="37">
        <v>1.6180196990915809E-2</v>
      </c>
    </row>
    <row r="116" spans="1:51" x14ac:dyDescent="0.2">
      <c r="A116" s="23">
        <v>4.1044789647489779</v>
      </c>
      <c r="B116" s="24">
        <v>0.67171144239581237</v>
      </c>
      <c r="D116" s="118">
        <v>-3.1040805790470173E-2</v>
      </c>
      <c r="E116" s="118">
        <v>4.681305919165691E-2</v>
      </c>
      <c r="F116" s="118">
        <v>6.1424183359176793E-2</v>
      </c>
      <c r="G116" s="118">
        <v>-6.5597294424479369E-2</v>
      </c>
      <c r="H116" s="118">
        <v>0.10462057104926049</v>
      </c>
      <c r="M116" s="37" t="s">
        <v>80</v>
      </c>
      <c r="N116" s="37">
        <v>3.3617349825272848E-2</v>
      </c>
      <c r="W116" s="37" t="s">
        <v>80</v>
      </c>
      <c r="X116" s="37">
        <v>0.2549116688145599</v>
      </c>
      <c r="AG116" s="37" t="s">
        <v>80</v>
      </c>
      <c r="AH116" s="37">
        <v>0.33294448962482526</v>
      </c>
      <c r="AQ116" s="37" t="s">
        <v>80</v>
      </c>
      <c r="AR116" s="37">
        <v>-7.8221340579254033E-4</v>
      </c>
    </row>
    <row r="117" spans="1:51" x14ac:dyDescent="0.2">
      <c r="A117" s="23">
        <v>4.1091762305020563</v>
      </c>
      <c r="B117" s="24">
        <v>0.67229169263638311</v>
      </c>
      <c r="D117" s="118">
        <v>5.4892511014553995E-2</v>
      </c>
      <c r="E117" s="118">
        <v>1.8583267049556897E-2</v>
      </c>
      <c r="F117" s="118">
        <v>0.10077653010236594</v>
      </c>
      <c r="G117" s="118">
        <v>0.14377693161987426</v>
      </c>
      <c r="H117" s="118">
        <v>-8.6379883848651209E-2</v>
      </c>
      <c r="M117" s="37" t="s">
        <v>81</v>
      </c>
      <c r="N117" s="37">
        <v>5.2455964611381731E-2</v>
      </c>
      <c r="W117" s="37" t="s">
        <v>81</v>
      </c>
      <c r="X117" s="37">
        <v>6.405612333991817E-2</v>
      </c>
      <c r="AG117" s="37" t="s">
        <v>81</v>
      </c>
      <c r="AH117" s="37">
        <v>5.825286167968962E-2</v>
      </c>
      <c r="AQ117" s="37" t="s">
        <v>81</v>
      </c>
      <c r="AR117" s="37">
        <v>4.6644815987644687E-2</v>
      </c>
    </row>
    <row r="118" spans="1:51" ht="13.5" thickBot="1" x14ac:dyDescent="0.25">
      <c r="A118" s="23">
        <v>4.8441190866284982</v>
      </c>
      <c r="B118" s="24">
        <v>0.76123854903983368</v>
      </c>
      <c r="D118" s="118">
        <v>-1.7396106913756221E-2</v>
      </c>
      <c r="E118" s="118">
        <v>-8.5849177979501455E-4</v>
      </c>
      <c r="F118" s="118">
        <v>-3.1371687049765735E-2</v>
      </c>
      <c r="G118" s="118">
        <v>1.33444163144166E-2</v>
      </c>
      <c r="H118" s="118">
        <v>-3.6269696971942661E-3</v>
      </c>
      <c r="M118" s="126" t="s">
        <v>82</v>
      </c>
      <c r="N118" s="126">
        <v>60</v>
      </c>
      <c r="W118" s="126" t="s">
        <v>82</v>
      </c>
      <c r="X118" s="126">
        <v>60</v>
      </c>
      <c r="AG118" s="126" t="s">
        <v>82</v>
      </c>
      <c r="AH118" s="126">
        <v>60</v>
      </c>
      <c r="AQ118" s="126" t="s">
        <v>82</v>
      </c>
      <c r="AR118" s="126">
        <v>60</v>
      </c>
    </row>
    <row r="119" spans="1:51" x14ac:dyDescent="0.2">
      <c r="A119" s="23">
        <v>3.2589782863471277</v>
      </c>
      <c r="B119" s="24">
        <v>0.5631857338742644</v>
      </c>
      <c r="D119" s="118">
        <v>8.5208197301247391E-3</v>
      </c>
      <c r="E119" s="118">
        <v>-3.3001353591150355E-2</v>
      </c>
      <c r="F119" s="118">
        <v>5.7863822163982436E-3</v>
      </c>
      <c r="G119" s="118">
        <v>-6.5066680218695952E-2</v>
      </c>
      <c r="H119" s="118">
        <v>-2.8264367195452648E-3</v>
      </c>
    </row>
    <row r="120" spans="1:51" ht="13.5" thickBot="1" x14ac:dyDescent="0.25">
      <c r="A120" s="23">
        <v>2.8550726372754185</v>
      </c>
      <c r="B120" s="24">
        <v>0.50647948294968725</v>
      </c>
      <c r="D120" s="118">
        <v>1.0491382393316857E-2</v>
      </c>
      <c r="E120" s="118">
        <v>8.118995401386199E-2</v>
      </c>
      <c r="F120" s="118">
        <v>4.5339126186557048E-2</v>
      </c>
      <c r="G120" s="118">
        <v>2.5955530091795982E-2</v>
      </c>
      <c r="H120" s="118">
        <v>1.0393043618834471E-2</v>
      </c>
      <c r="M120" t="s">
        <v>83</v>
      </c>
      <c r="W120" t="s">
        <v>83</v>
      </c>
      <c r="AG120" t="s">
        <v>83</v>
      </c>
      <c r="AQ120" t="s">
        <v>83</v>
      </c>
    </row>
    <row r="121" spans="1:51" x14ac:dyDescent="0.2">
      <c r="A121" s="23">
        <v>1.9851612658467261</v>
      </c>
      <c r="B121" s="24">
        <v>0.3334857783705405</v>
      </c>
      <c r="D121" s="118">
        <v>-2.1011672375900521E-2</v>
      </c>
      <c r="E121" s="118">
        <v>-1.427381564086389E-2</v>
      </c>
      <c r="F121" s="118">
        <v>-3.7227483018360812E-2</v>
      </c>
      <c r="G121" s="118">
        <v>-6.3797870547156646E-2</v>
      </c>
      <c r="H121" s="118">
        <v>-7.3226463504839717E-2</v>
      </c>
      <c r="M121" s="127"/>
      <c r="N121" s="127" t="s">
        <v>88</v>
      </c>
      <c r="O121" s="127" t="s">
        <v>89</v>
      </c>
      <c r="P121" s="127" t="s">
        <v>90</v>
      </c>
      <c r="Q121" s="127" t="s">
        <v>91</v>
      </c>
      <c r="R121" s="127" t="s">
        <v>92</v>
      </c>
      <c r="W121" s="127"/>
      <c r="X121" s="127" t="s">
        <v>88</v>
      </c>
      <c r="Y121" s="127" t="s">
        <v>89</v>
      </c>
      <c r="Z121" s="127" t="s">
        <v>90</v>
      </c>
      <c r="AA121" s="127" t="s">
        <v>91</v>
      </c>
      <c r="AB121" s="127" t="s">
        <v>92</v>
      </c>
      <c r="AG121" s="127"/>
      <c r="AH121" s="127" t="s">
        <v>88</v>
      </c>
      <c r="AI121" s="127" t="s">
        <v>89</v>
      </c>
      <c r="AJ121" s="127" t="s">
        <v>90</v>
      </c>
      <c r="AK121" s="127" t="s">
        <v>91</v>
      </c>
      <c r="AL121" s="127" t="s">
        <v>92</v>
      </c>
      <c r="AQ121" s="127"/>
      <c r="AR121" s="127" t="s">
        <v>88</v>
      </c>
      <c r="AS121" s="127" t="s">
        <v>89</v>
      </c>
      <c r="AT121" s="127" t="s">
        <v>90</v>
      </c>
      <c r="AU121" s="127" t="s">
        <v>91</v>
      </c>
      <c r="AV121" s="127" t="s">
        <v>92</v>
      </c>
    </row>
    <row r="122" spans="1:51" x14ac:dyDescent="0.2">
      <c r="A122" s="23">
        <v>3.9093452826961026</v>
      </c>
      <c r="B122" s="24">
        <v>0.64743413900161806</v>
      </c>
      <c r="D122" s="118">
        <v>1.9742029696721345E-2</v>
      </c>
      <c r="E122" s="118">
        <v>4.1669392511316294E-2</v>
      </c>
      <c r="F122" s="118">
        <v>-3.29267037839171E-2</v>
      </c>
      <c r="G122" s="118">
        <v>-5.4605483702397602E-2</v>
      </c>
      <c r="H122" s="118">
        <v>6.9450113092627122E-2</v>
      </c>
      <c r="M122" s="37" t="s">
        <v>84</v>
      </c>
      <c r="N122" s="37">
        <v>1</v>
      </c>
      <c r="O122" s="37">
        <v>8.3991266182460722E-3</v>
      </c>
      <c r="P122" s="37">
        <v>8.3991266182460722E-3</v>
      </c>
      <c r="Q122" s="37">
        <v>3.0524205803285938</v>
      </c>
      <c r="R122" s="37">
        <v>8.5910151029442064E-2</v>
      </c>
      <c r="W122" s="37" t="s">
        <v>84</v>
      </c>
      <c r="X122" s="37">
        <v>1</v>
      </c>
      <c r="Y122" s="37">
        <v>8.6927009250420129E-2</v>
      </c>
      <c r="Z122" s="37">
        <v>8.6927009250420129E-2</v>
      </c>
      <c r="AA122" s="37">
        <v>21.18524224655436</v>
      </c>
      <c r="AB122" s="37">
        <v>2.3194691014264528E-5</v>
      </c>
      <c r="AG122" s="37" t="s">
        <v>84</v>
      </c>
      <c r="AH122" s="37">
        <v>1</v>
      </c>
      <c r="AI122" s="37">
        <v>0.10332351316006674</v>
      </c>
      <c r="AJ122" s="37">
        <v>0.10332351316006674</v>
      </c>
      <c r="AK122" s="37">
        <v>30.448411087731497</v>
      </c>
      <c r="AL122" s="37">
        <v>8.3647628823413856E-7</v>
      </c>
      <c r="AQ122" s="37" t="s">
        <v>84</v>
      </c>
      <c r="AR122" s="37">
        <v>1</v>
      </c>
      <c r="AS122" s="37">
        <v>2.0754057064021614E-3</v>
      </c>
      <c r="AT122" s="37">
        <v>2.0754057064021614E-3</v>
      </c>
      <c r="AU122" s="37">
        <v>0.95388548045363108</v>
      </c>
      <c r="AV122" s="37">
        <v>0.33278839987469955</v>
      </c>
    </row>
    <row r="123" spans="1:51" x14ac:dyDescent="0.2">
      <c r="A123" s="23">
        <v>2.0469592742663134</v>
      </c>
      <c r="B123" s="24">
        <v>0.19406639106624926</v>
      </c>
      <c r="D123" s="118">
        <v>-6.2580818167202831E-2</v>
      </c>
      <c r="E123" s="118">
        <v>-2.6769403711727625E-2</v>
      </c>
      <c r="F123" s="118">
        <v>-6.6196215616971033E-2</v>
      </c>
      <c r="G123" s="118">
        <v>-6.5693419105611148E-2</v>
      </c>
      <c r="H123" s="118">
        <v>-5.579879630717282E-2</v>
      </c>
      <c r="M123" s="37" t="s">
        <v>85</v>
      </c>
      <c r="N123" s="37">
        <v>58</v>
      </c>
      <c r="O123" s="37">
        <v>0.15959443695201087</v>
      </c>
      <c r="P123" s="37">
        <v>2.7516282233105323E-3</v>
      </c>
      <c r="Q123" s="37"/>
      <c r="R123" s="37"/>
      <c r="W123" s="37" t="s">
        <v>85</v>
      </c>
      <c r="X123" s="37">
        <v>58</v>
      </c>
      <c r="Y123" s="37">
        <v>0.23798484236565093</v>
      </c>
      <c r="Z123" s="37">
        <v>4.103186937338809E-3</v>
      </c>
      <c r="AA123" s="37"/>
      <c r="AB123" s="37"/>
      <c r="AG123" s="37" t="s">
        <v>85</v>
      </c>
      <c r="AH123" s="37">
        <v>58</v>
      </c>
      <c r="AI123" s="37">
        <v>0.19681696184463696</v>
      </c>
      <c r="AJ123" s="37">
        <v>3.3933958938730511E-3</v>
      </c>
      <c r="AK123" s="37"/>
      <c r="AL123" s="37"/>
      <c r="AQ123" s="37" t="s">
        <v>85</v>
      </c>
      <c r="AR123" s="37">
        <v>58</v>
      </c>
      <c r="AS123" s="37">
        <v>0.12619285379423154</v>
      </c>
      <c r="AT123" s="37">
        <v>2.1757388585212332E-3</v>
      </c>
      <c r="AU123" s="37"/>
      <c r="AV123" s="37"/>
    </row>
    <row r="124" spans="1:51" ht="13.5" thickBot="1" x14ac:dyDescent="0.25">
      <c r="A124" s="23">
        <v>3.8323414044123436</v>
      </c>
      <c r="B124" s="24">
        <v>0.63775226050845346</v>
      </c>
      <c r="D124" s="118">
        <v>-2.6442831573227094E-2</v>
      </c>
      <c r="E124" s="118">
        <v>5.6053271378032885E-2</v>
      </c>
      <c r="F124" s="118">
        <v>-2.1816235711789051E-2</v>
      </c>
      <c r="G124" s="118">
        <v>3.2246952645908059E-2</v>
      </c>
      <c r="H124" s="118">
        <v>7.4181136252424243E-2</v>
      </c>
      <c r="M124" s="126" t="s">
        <v>86</v>
      </c>
      <c r="N124" s="126">
        <v>59</v>
      </c>
      <c r="O124" s="126">
        <v>0.16799356357025694</v>
      </c>
      <c r="P124" s="126"/>
      <c r="Q124" s="126"/>
      <c r="R124" s="126"/>
      <c r="W124" s="126" t="s">
        <v>86</v>
      </c>
      <c r="X124" s="126">
        <v>59</v>
      </c>
      <c r="Y124" s="126">
        <v>0.32491185161607106</v>
      </c>
      <c r="Z124" s="126"/>
      <c r="AA124" s="126"/>
      <c r="AB124" s="126"/>
      <c r="AG124" s="126" t="s">
        <v>86</v>
      </c>
      <c r="AH124" s="126">
        <v>59</v>
      </c>
      <c r="AI124" s="126">
        <v>0.3001404750047037</v>
      </c>
      <c r="AJ124" s="126"/>
      <c r="AK124" s="126"/>
      <c r="AL124" s="126"/>
      <c r="AQ124" s="126" t="s">
        <v>86</v>
      </c>
      <c r="AR124" s="126">
        <v>59</v>
      </c>
      <c r="AS124" s="126">
        <v>0.1282682595006337</v>
      </c>
      <c r="AT124" s="126"/>
      <c r="AU124" s="126"/>
      <c r="AV124" s="126"/>
    </row>
    <row r="125" spans="1:51" ht="13.5" thickBot="1" x14ac:dyDescent="0.25">
      <c r="A125" s="23">
        <v>2.0696073256975782</v>
      </c>
      <c r="B125" s="24">
        <v>0.36151477476957067</v>
      </c>
      <c r="D125" s="118">
        <v>8.2983117760394132E-2</v>
      </c>
      <c r="E125" s="118">
        <v>8.2992672301196897E-3</v>
      </c>
      <c r="F125" s="118">
        <v>8.3408845857531361E-2</v>
      </c>
      <c r="G125" s="118">
        <v>0.16289147382858243</v>
      </c>
      <c r="H125" s="118">
        <v>1.1363666146642236E-2</v>
      </c>
    </row>
    <row r="126" spans="1:51" x14ac:dyDescent="0.2">
      <c r="A126" s="23">
        <v>2.3831919186384303</v>
      </c>
      <c r="B126" s="24">
        <v>0.43026606050404098</v>
      </c>
      <c r="D126" s="118">
        <v>5.0486926072401835E-4</v>
      </c>
      <c r="E126" s="118">
        <v>2.854898828660327E-2</v>
      </c>
      <c r="F126" s="118">
        <v>-5.8042157046832108E-3</v>
      </c>
      <c r="G126" s="118">
        <v>3.6952105229415583E-2</v>
      </c>
      <c r="H126" s="118">
        <v>-1.2546868298963419E-2</v>
      </c>
      <c r="M126" s="127"/>
      <c r="N126" s="127" t="s">
        <v>93</v>
      </c>
      <c r="O126" s="127" t="s">
        <v>81</v>
      </c>
      <c r="P126" s="127" t="s">
        <v>94</v>
      </c>
      <c r="Q126" s="127" t="s">
        <v>95</v>
      </c>
      <c r="R126" s="127" t="s">
        <v>96</v>
      </c>
      <c r="S126" s="127" t="s">
        <v>97</v>
      </c>
      <c r="T126" s="127" t="s">
        <v>98</v>
      </c>
      <c r="U126" s="127" t="s">
        <v>99</v>
      </c>
      <c r="W126" s="127"/>
      <c r="X126" s="127" t="s">
        <v>93</v>
      </c>
      <c r="Y126" s="127" t="s">
        <v>81</v>
      </c>
      <c r="Z126" s="127" t="s">
        <v>94</v>
      </c>
      <c r="AA126" s="127" t="s">
        <v>95</v>
      </c>
      <c r="AB126" s="127" t="s">
        <v>96</v>
      </c>
      <c r="AC126" s="127" t="s">
        <v>97</v>
      </c>
      <c r="AD126" s="127" t="s">
        <v>98</v>
      </c>
      <c r="AE126" s="127" t="s">
        <v>99</v>
      </c>
      <c r="AG126" s="127"/>
      <c r="AH126" s="127" t="s">
        <v>93</v>
      </c>
      <c r="AI126" s="127" t="s">
        <v>81</v>
      </c>
      <c r="AJ126" s="127" t="s">
        <v>94</v>
      </c>
      <c r="AK126" s="127" t="s">
        <v>95</v>
      </c>
      <c r="AL126" s="127" t="s">
        <v>96</v>
      </c>
      <c r="AM126" s="127" t="s">
        <v>97</v>
      </c>
      <c r="AN126" s="127" t="s">
        <v>98</v>
      </c>
      <c r="AO126" s="127" t="s">
        <v>99</v>
      </c>
      <c r="AQ126" s="127"/>
      <c r="AR126" s="127" t="s">
        <v>93</v>
      </c>
      <c r="AS126" s="127" t="s">
        <v>81</v>
      </c>
      <c r="AT126" s="127" t="s">
        <v>94</v>
      </c>
      <c r="AU126" s="127" t="s">
        <v>95</v>
      </c>
      <c r="AV126" s="127" t="s">
        <v>96</v>
      </c>
      <c r="AW126" s="127" t="s">
        <v>97</v>
      </c>
      <c r="AX126" s="127" t="s">
        <v>98</v>
      </c>
      <c r="AY126" s="127" t="s">
        <v>99</v>
      </c>
    </row>
    <row r="127" spans="1:51" x14ac:dyDescent="0.2">
      <c r="A127" s="23">
        <v>2.0522678233760314</v>
      </c>
      <c r="B127" s="24">
        <v>0.19246404955955806</v>
      </c>
      <c r="D127" s="118">
        <v>-1.7530185176314418E-2</v>
      </c>
      <c r="E127" s="118">
        <v>5.9340766941713375E-3</v>
      </c>
      <c r="F127" s="118">
        <v>-0.11022822028502036</v>
      </c>
      <c r="G127" s="118">
        <v>-5.0601974894044756E-2</v>
      </c>
      <c r="H127" s="118">
        <v>1.7298566609248327E-2</v>
      </c>
      <c r="M127" s="37" t="s">
        <v>87</v>
      </c>
      <c r="N127" s="37">
        <v>8.6644877137148323E-3</v>
      </c>
      <c r="O127" s="37">
        <v>7.1546647676659671E-3</v>
      </c>
      <c r="P127" s="37">
        <v>1.211026371615928</v>
      </c>
      <c r="Q127" s="37">
        <v>0.23079679933708069</v>
      </c>
      <c r="R127" s="37">
        <v>-5.6571298449200405E-3</v>
      </c>
      <c r="S127" s="37">
        <v>2.2986105272349705E-2</v>
      </c>
      <c r="T127" s="37">
        <v>-5.6571298449200405E-3</v>
      </c>
      <c r="U127" s="37">
        <v>2.2986105272349705E-2</v>
      </c>
      <c r="W127" s="37" t="s">
        <v>87</v>
      </c>
      <c r="X127" s="37">
        <v>1.988653535764941E-3</v>
      </c>
      <c r="Y127" s="37">
        <v>8.7368537059356183E-3</v>
      </c>
      <c r="Z127" s="37">
        <v>0.22761666873440897</v>
      </c>
      <c r="AA127" s="37">
        <v>0.82074474006102038</v>
      </c>
      <c r="AB127" s="37">
        <v>-1.5500059283825479E-2</v>
      </c>
      <c r="AC127" s="37">
        <v>1.9477366355355359E-2</v>
      </c>
      <c r="AD127" s="37">
        <v>-1.5500059283825479E-2</v>
      </c>
      <c r="AE127" s="37">
        <v>1.9477366355355359E-2</v>
      </c>
      <c r="AG127" s="37" t="s">
        <v>87</v>
      </c>
      <c r="AH127" s="37">
        <v>3.7557703702145728E-5</v>
      </c>
      <c r="AI127" s="37">
        <v>7.945325191579122E-3</v>
      </c>
      <c r="AJ127" s="37">
        <v>4.7270190705285898E-3</v>
      </c>
      <c r="AK127" s="37">
        <v>0.99624461986716795</v>
      </c>
      <c r="AL127" s="37">
        <v>-1.5866738649501375E-2</v>
      </c>
      <c r="AM127" s="37">
        <v>1.5941854056905666E-2</v>
      </c>
      <c r="AN127" s="37">
        <v>-1.5866738649501375E-2</v>
      </c>
      <c r="AO127" s="37">
        <v>1.5941854056905666E-2</v>
      </c>
      <c r="AQ127" s="37" t="s">
        <v>87</v>
      </c>
      <c r="AR127" s="37">
        <v>7.8417080603482812E-3</v>
      </c>
      <c r="AS127" s="37">
        <v>6.3620605209241043E-3</v>
      </c>
      <c r="AT127" s="37">
        <v>1.232573634682943</v>
      </c>
      <c r="AU127" s="37">
        <v>0.22270786164538892</v>
      </c>
      <c r="AV127" s="37">
        <v>-4.8933397195756421E-3</v>
      </c>
      <c r="AW127" s="37">
        <v>2.0576755840272205E-2</v>
      </c>
      <c r="AX127" s="37">
        <v>-4.8933397195756421E-3</v>
      </c>
      <c r="AY127" s="37">
        <v>2.0576755840272205E-2</v>
      </c>
    </row>
    <row r="128" spans="1:51" ht="13.5" thickBot="1" x14ac:dyDescent="0.25">
      <c r="A128" s="23">
        <v>1.9116189360239568</v>
      </c>
      <c r="B128" s="24">
        <v>0.26690848871714423</v>
      </c>
      <c r="D128" s="118">
        <v>-5.073532197294639E-2</v>
      </c>
      <c r="E128" s="118">
        <v>7.9963677305439074E-2</v>
      </c>
      <c r="F128" s="118">
        <v>-7.5242364683284782E-2</v>
      </c>
      <c r="G128" s="118">
        <v>-0.12849159939748375</v>
      </c>
      <c r="H128" s="118">
        <v>3.2336911672319252E-2</v>
      </c>
      <c r="M128" s="126" t="s">
        <v>14</v>
      </c>
      <c r="N128" s="126">
        <v>0.39948089854205704</v>
      </c>
      <c r="O128" s="126">
        <v>0.22865138246108782</v>
      </c>
      <c r="P128" s="126">
        <v>1.7471177923450396</v>
      </c>
      <c r="Q128" s="126">
        <v>8.5910151029441315E-2</v>
      </c>
      <c r="R128" s="126">
        <v>-5.8214571504281609E-2</v>
      </c>
      <c r="S128" s="126">
        <v>0.85717636858839574</v>
      </c>
      <c r="T128" s="126">
        <v>-5.8214571504281609E-2</v>
      </c>
      <c r="U128" s="126">
        <v>0.85717636858839574</v>
      </c>
      <c r="W128" s="126" t="s">
        <v>14</v>
      </c>
      <c r="X128" s="126">
        <v>1.2851574045384797</v>
      </c>
      <c r="Y128" s="126">
        <v>0.27921555280278437</v>
      </c>
      <c r="Z128" s="126">
        <v>4.6027429046769921</v>
      </c>
      <c r="AA128" s="126">
        <v>2.3194691014264189E-5</v>
      </c>
      <c r="AB128" s="126">
        <v>0.72624675064786914</v>
      </c>
      <c r="AC128" s="126">
        <v>1.8440680584290903</v>
      </c>
      <c r="AD128" s="126">
        <v>0.72624675064786914</v>
      </c>
      <c r="AE128" s="126">
        <v>1.8440680584290903</v>
      </c>
      <c r="AG128" s="126" t="s">
        <v>14</v>
      </c>
      <c r="AH128" s="126">
        <v>1.4011303358834344</v>
      </c>
      <c r="AI128" s="126">
        <v>0.25391959625665739</v>
      </c>
      <c r="AJ128" s="126">
        <v>5.5180078912349755</v>
      </c>
      <c r="AK128" s="126">
        <v>8.3647628823414618E-7</v>
      </c>
      <c r="AL128" s="126">
        <v>0.89285504048938424</v>
      </c>
      <c r="AM128" s="126">
        <v>1.9094056312774845</v>
      </c>
      <c r="AN128" s="126">
        <v>0.89285504048938424</v>
      </c>
      <c r="AO128" s="126">
        <v>1.9094056312774845</v>
      </c>
      <c r="AQ128" s="126" t="s">
        <v>14</v>
      </c>
      <c r="AR128" s="126">
        <v>0.19857769126232874</v>
      </c>
      <c r="AS128" s="126">
        <v>0.20332104726759451</v>
      </c>
      <c r="AT128" s="126">
        <v>0.97667061000810729</v>
      </c>
      <c r="AU128" s="126">
        <v>0.33278839987470543</v>
      </c>
      <c r="AV128" s="126">
        <v>-0.20841360394793498</v>
      </c>
      <c r="AW128" s="126">
        <v>0.6055689864725925</v>
      </c>
      <c r="AX128" s="126">
        <v>-0.20841360394793498</v>
      </c>
      <c r="AY128" s="126">
        <v>0.6055689864725925</v>
      </c>
    </row>
    <row r="129" spans="1:8" x14ac:dyDescent="0.2">
      <c r="A129" s="23">
        <v>2.4231112437771194</v>
      </c>
      <c r="B129" s="24">
        <v>0.43746243085838754</v>
      </c>
      <c r="D129" s="118">
        <v>-4.1283604302991229E-3</v>
      </c>
      <c r="E129" s="118">
        <v>9.4664102424428215E-2</v>
      </c>
      <c r="F129" s="118">
        <v>-1.2875177824747375E-3</v>
      </c>
      <c r="G129" s="118">
        <v>-6.7475981354330498E-3</v>
      </c>
      <c r="H129" s="118">
        <v>3.3145099966213037E-2</v>
      </c>
    </row>
    <row r="130" spans="1:8" x14ac:dyDescent="0.2">
      <c r="A130" s="23">
        <v>3.8898707166794395</v>
      </c>
      <c r="B130" s="24">
        <v>0.64499137820752939</v>
      </c>
      <c r="D130" s="118">
        <v>6.5991114577365145E-2</v>
      </c>
      <c r="E130" s="118">
        <v>3.3036459316616279E-2</v>
      </c>
      <c r="F130" s="118">
        <v>0.12721057077914119</v>
      </c>
      <c r="G130" s="118">
        <v>8.0984022578752646E-2</v>
      </c>
      <c r="H130" s="118">
        <v>6.0954929465662069E-2</v>
      </c>
    </row>
    <row r="131" spans="1:8" x14ac:dyDescent="0.2">
      <c r="A131" s="23">
        <v>4.647128772847374</v>
      </c>
      <c r="B131" s="24">
        <v>0.73770542455058286</v>
      </c>
      <c r="D131" s="118">
        <v>2.6993984808732631E-3</v>
      </c>
      <c r="E131" s="118">
        <v>-2.7912140708970388E-2</v>
      </c>
      <c r="F131" s="118">
        <v>-0.13992105767610991</v>
      </c>
      <c r="G131" s="118">
        <v>1.1772187861122222E-2</v>
      </c>
      <c r="H131" s="118">
        <v>-2.5452177149687068E-2</v>
      </c>
    </row>
    <row r="132" spans="1:8" x14ac:dyDescent="0.2">
      <c r="A132" s="23">
        <v>3.1984777680909993</v>
      </c>
      <c r="B132" s="24">
        <v>0.55497903475199206</v>
      </c>
      <c r="D132" s="118">
        <v>1.5324602357572555E-2</v>
      </c>
      <c r="E132" s="118">
        <v>-1.8473485529008977E-2</v>
      </c>
      <c r="F132" s="118">
        <v>7.1772924203735267E-2</v>
      </c>
      <c r="G132" s="118">
        <v>-1.6352162426936205E-2</v>
      </c>
      <c r="H132" s="118">
        <v>3.2302464231843957E-2</v>
      </c>
    </row>
    <row r="133" spans="1:8" x14ac:dyDescent="0.2">
      <c r="A133" s="23">
        <v>4.7792601626074518</v>
      </c>
      <c r="B133" s="24">
        <v>0.7535109815686859</v>
      </c>
      <c r="D133" s="118">
        <v>9.1092112097811118E-4</v>
      </c>
      <c r="E133" s="118">
        <v>9.8398582005320673E-2</v>
      </c>
      <c r="F133" s="118">
        <v>-4.2659694654368877E-2</v>
      </c>
      <c r="G133" s="118">
        <v>-8.3751092242478647E-2</v>
      </c>
      <c r="H133" s="118">
        <v>7.2231853751045266E-2</v>
      </c>
    </row>
    <row r="134" spans="1:8" x14ac:dyDescent="0.2">
      <c r="A134" s="23">
        <v>3.1519368372574283</v>
      </c>
      <c r="B134" s="24">
        <v>0.54860737832026218</v>
      </c>
      <c r="D134" s="118">
        <v>3.5609801125254283E-2</v>
      </c>
      <c r="E134" s="118">
        <v>-5.9688156756264404E-2</v>
      </c>
      <c r="F134" s="118">
        <v>9.0062736672425148E-2</v>
      </c>
      <c r="G134" s="118">
        <v>0.11448767650925809</v>
      </c>
      <c r="H134" s="118">
        <v>3.1289272704527359E-4</v>
      </c>
    </row>
    <row r="135" spans="1:8" x14ac:dyDescent="0.2">
      <c r="A135" s="23">
        <v>3.6850579720940937</v>
      </c>
      <c r="B135" s="24">
        <v>0.6190494299105006</v>
      </c>
      <c r="D135" s="118">
        <v>-1.2192431360480338E-3</v>
      </c>
      <c r="E135" s="118">
        <v>-2.4891548853635714E-2</v>
      </c>
      <c r="F135" s="118">
        <v>2.3651934536408528E-2</v>
      </c>
      <c r="G135" s="118">
        <v>1.2048180138694076E-2</v>
      </c>
      <c r="H135" s="118">
        <v>-3.1279309511838341E-2</v>
      </c>
    </row>
    <row r="136" spans="1:8" x14ac:dyDescent="0.2">
      <c r="A136" s="23">
        <v>3.6125482027884512</v>
      </c>
      <c r="B136" s="24">
        <v>0.60974271777557365</v>
      </c>
      <c r="D136" s="118">
        <v>-1.2344508443253945E-3</v>
      </c>
      <c r="E136" s="118">
        <v>-9.9143656298873131E-2</v>
      </c>
      <c r="F136" s="118">
        <v>6.5504244985393534E-2</v>
      </c>
      <c r="G136" s="118">
        <v>7.2167558495511127E-3</v>
      </c>
      <c r="H136" s="118">
        <v>-4.6714491070683657E-3</v>
      </c>
    </row>
    <row r="137" spans="1:8" x14ac:dyDescent="0.2">
      <c r="A137" s="23">
        <v>4.7246480980847476</v>
      </c>
      <c r="B137" s="24">
        <v>0.746988819553001</v>
      </c>
      <c r="D137" s="118">
        <v>-1.9425679279557545E-2</v>
      </c>
      <c r="E137" s="118">
        <v>-8.8441997832731334E-5</v>
      </c>
      <c r="F137" s="118">
        <v>4.3343328688598215E-3</v>
      </c>
      <c r="G137" s="118">
        <v>-5.3509156802712191E-3</v>
      </c>
      <c r="H137" s="118">
        <v>1.5530505627618065E-2</v>
      </c>
    </row>
    <row r="138" spans="1:8" x14ac:dyDescent="0.2">
      <c r="A138" s="23">
        <v>2.0714318976756894</v>
      </c>
      <c r="B138" s="24">
        <v>0.18689122812875542</v>
      </c>
      <c r="D138" s="118">
        <v>3.4174522187570479E-2</v>
      </c>
      <c r="E138" s="118">
        <v>4.6926736579709326E-2</v>
      </c>
      <c r="F138" s="118">
        <v>-2.1600889761367547E-2</v>
      </c>
      <c r="G138" s="118">
        <v>9.2721436489116363E-2</v>
      </c>
      <c r="H138" s="118">
        <v>-5.3444975613526222E-2</v>
      </c>
    </row>
    <row r="139" spans="1:8" x14ac:dyDescent="0.2">
      <c r="A139" s="23">
        <v>2.1912994355545385</v>
      </c>
      <c r="B139" s="24">
        <v>0.39184348190796059</v>
      </c>
      <c r="D139" s="118">
        <v>1.8200762196895176E-2</v>
      </c>
      <c r="E139" s="118">
        <v>4.5702244355089088E-3</v>
      </c>
      <c r="F139" s="118">
        <v>-9.3196198936960385E-3</v>
      </c>
      <c r="G139" s="118">
        <v>5.5024687345817822E-2</v>
      </c>
      <c r="H139" s="118">
        <v>-1.2925132462207771E-2</v>
      </c>
    </row>
    <row r="140" spans="1:8" x14ac:dyDescent="0.2">
      <c r="A140" s="23">
        <v>3.0102835379098578</v>
      </c>
      <c r="B140" s="24">
        <v>0.52885916133567146</v>
      </c>
    </row>
    <row r="141" spans="1:8" x14ac:dyDescent="0.2">
      <c r="A141" s="23">
        <v>2.7108634916396182</v>
      </c>
      <c r="B141" s="24">
        <v>0.48478138303006946</v>
      </c>
    </row>
    <row r="142" spans="1:8" x14ac:dyDescent="0.2">
      <c r="A142" s="23">
        <v>2.6048921502752571</v>
      </c>
      <c r="B142" s="24">
        <v>0.46810682567225781</v>
      </c>
    </row>
    <row r="143" spans="1:8" x14ac:dyDescent="0.2">
      <c r="A143" s="23">
        <v>3.938106565084734</v>
      </c>
      <c r="B143" s="24">
        <v>0.65103480875781028</v>
      </c>
    </row>
    <row r="144" spans="1:8" x14ac:dyDescent="0.2">
      <c r="A144" s="23">
        <v>2.8917929865161942</v>
      </c>
      <c r="B144" s="24">
        <v>0.5118551061181279</v>
      </c>
    </row>
    <row r="145" spans="1:2" x14ac:dyDescent="0.2">
      <c r="A145" s="23">
        <v>4.2151846115561593</v>
      </c>
      <c r="B145" s="24">
        <v>0.6853396877536887</v>
      </c>
    </row>
    <row r="146" spans="1:2" x14ac:dyDescent="0.2">
      <c r="A146" s="23">
        <v>2.4217127974567503</v>
      </c>
      <c r="B146" s="24">
        <v>0.43721372838221745</v>
      </c>
    </row>
    <row r="147" spans="1:2" x14ac:dyDescent="0.2">
      <c r="A147" s="23">
        <v>3.1658501529326895</v>
      </c>
      <c r="B147" s="24">
        <v>0.55051775090920052</v>
      </c>
    </row>
    <row r="148" spans="1:2" x14ac:dyDescent="0.2">
      <c r="A148" s="23">
        <v>2.4964834991433205</v>
      </c>
      <c r="B148" s="24">
        <v>0.45020434827744649</v>
      </c>
    </row>
    <row r="149" spans="1:2" x14ac:dyDescent="0.2">
      <c r="A149" s="23">
        <v>1.9552612351670673</v>
      </c>
      <c r="B149" s="24">
        <v>0.32001399073856462</v>
      </c>
    </row>
    <row r="150" spans="1:2" x14ac:dyDescent="0.2">
      <c r="A150" s="23">
        <v>2.3482731594042385</v>
      </c>
      <c r="B150" s="24">
        <v>0.42379153472571052</v>
      </c>
    </row>
    <row r="151" spans="1:2" x14ac:dyDescent="0.2">
      <c r="A151" s="23">
        <v>3.7153718105358893</v>
      </c>
      <c r="B151" s="24">
        <v>0.62292004671671453</v>
      </c>
    </row>
    <row r="152" spans="1:2" x14ac:dyDescent="0.2">
      <c r="A152" s="23">
        <v>2.7190180656356278</v>
      </c>
      <c r="B152" s="24">
        <v>0.48603635015673741</v>
      </c>
    </row>
    <row r="153" spans="1:2" x14ac:dyDescent="0.2">
      <c r="A153" s="23">
        <v>1.9136660493993236</v>
      </c>
      <c r="B153" s="24">
        <v>0.28673721555137849</v>
      </c>
    </row>
    <row r="154" spans="1:2" x14ac:dyDescent="0.2">
      <c r="A154" s="23">
        <v>1.9658783835129774</v>
      </c>
      <c r="B154" s="24">
        <v>0.32518469538688205</v>
      </c>
    </row>
    <row r="155" spans="1:2" x14ac:dyDescent="0.2">
      <c r="A155" s="23">
        <v>1.9938493647679094</v>
      </c>
      <c r="B155" s="24">
        <v>0.33688939294304221</v>
      </c>
    </row>
    <row r="156" spans="1:2" x14ac:dyDescent="0.2">
      <c r="A156" s="23">
        <v>3.7679470218216875</v>
      </c>
      <c r="B156" s="24">
        <v>0.62960644054296355</v>
      </c>
    </row>
    <row r="157" spans="1:2" x14ac:dyDescent="0.2">
      <c r="A157" s="23">
        <v>2.5860271972075437</v>
      </c>
      <c r="B157" s="24">
        <v>0.4650593609057308</v>
      </c>
    </row>
    <row r="158" spans="1:2" x14ac:dyDescent="0.2">
      <c r="A158" s="23">
        <v>2.4295284731168323</v>
      </c>
      <c r="B158" s="24">
        <v>0.43860067847252054</v>
      </c>
    </row>
    <row r="159" spans="1:2" x14ac:dyDescent="0.2">
      <c r="A159" s="23">
        <v>1.92436691430491</v>
      </c>
      <c r="B159" s="24">
        <v>0.2491281025125725</v>
      </c>
    </row>
    <row r="160" spans="1:2" x14ac:dyDescent="0.2">
      <c r="A160" s="23">
        <v>1.9189532786232015</v>
      </c>
      <c r="B160" s="24">
        <v>0.25463754761634866</v>
      </c>
    </row>
    <row r="161" spans="1:2" x14ac:dyDescent="0.2">
      <c r="A161" s="23">
        <v>2.7595299654500449</v>
      </c>
      <c r="B161" s="24">
        <v>0.49221794236792527</v>
      </c>
    </row>
    <row r="162" spans="1:2" x14ac:dyDescent="0.2">
      <c r="A162" s="23">
        <v>3.5590541811616379</v>
      </c>
      <c r="B162" s="24">
        <v>0.60283034764304022</v>
      </c>
    </row>
    <row r="163" spans="1:2" x14ac:dyDescent="0.2">
      <c r="A163" s="23">
        <v>4.2141430014654286</v>
      </c>
      <c r="B163" s="24">
        <v>0.68521190648582608</v>
      </c>
    </row>
    <row r="164" spans="1:2" x14ac:dyDescent="0.2">
      <c r="A164" s="23">
        <v>2.2795054542357298</v>
      </c>
      <c r="B164" s="24">
        <v>0.41045430672490202</v>
      </c>
    </row>
    <row r="165" spans="1:2" x14ac:dyDescent="0.2">
      <c r="A165" s="23">
        <v>2.107673715976957</v>
      </c>
      <c r="B165" s="24">
        <v>0.17709811257846347</v>
      </c>
    </row>
    <row r="166" spans="1:2" x14ac:dyDescent="0.2">
      <c r="A166" s="23">
        <v>2.6263487627298874</v>
      </c>
      <c r="B166" s="24">
        <v>0.47154192025936165</v>
      </c>
    </row>
    <row r="167" spans="1:2" x14ac:dyDescent="0.2">
      <c r="A167" s="23">
        <v>2.0410712498890211</v>
      </c>
      <c r="B167" s="24">
        <v>0.3530465500667716</v>
      </c>
    </row>
    <row r="168" spans="1:2" x14ac:dyDescent="0.2">
      <c r="A168" s="23">
        <v>2.6738804470007689</v>
      </c>
      <c r="B168" s="24">
        <v>0.47904195311430919</v>
      </c>
    </row>
    <row r="169" spans="1:2" x14ac:dyDescent="0.2">
      <c r="A169" s="23">
        <v>2.0193302989412114</v>
      </c>
      <c r="B169" s="24">
        <v>0.3460158532004684</v>
      </c>
    </row>
    <row r="170" spans="1:2" x14ac:dyDescent="0.2">
      <c r="A170" s="23">
        <v>4.782212843659555</v>
      </c>
      <c r="B170" s="24">
        <v>0.75386320313084654</v>
      </c>
    </row>
    <row r="171" spans="1:2" x14ac:dyDescent="0.2">
      <c r="A171" s="23">
        <v>2.5563650059598344</v>
      </c>
      <c r="B171" s="24">
        <v>0.46021292811140541</v>
      </c>
    </row>
    <row r="172" spans="1:2" x14ac:dyDescent="0.2">
      <c r="A172" s="23">
        <v>2.1886231711125705</v>
      </c>
      <c r="B172" s="24">
        <v>0.15767847782166042</v>
      </c>
    </row>
    <row r="173" spans="1:2" x14ac:dyDescent="0.2">
      <c r="A173" s="23">
        <v>3.1282895091869047</v>
      </c>
      <c r="B173" s="24">
        <v>0.54534916985527171</v>
      </c>
    </row>
    <row r="174" spans="1:2" x14ac:dyDescent="0.2">
      <c r="A174" s="23">
        <v>2.9197125227129863</v>
      </c>
      <c r="B174" s="24">
        <v>0.51590694403975013</v>
      </c>
    </row>
    <row r="175" spans="1:2" x14ac:dyDescent="0.2">
      <c r="A175" s="23">
        <v>3.2889565202745361</v>
      </c>
      <c r="B175" s="24">
        <v>0.56722234143131567</v>
      </c>
    </row>
    <row r="176" spans="1:2" x14ac:dyDescent="0.2">
      <c r="A176" s="23">
        <v>3.8290086956117615</v>
      </c>
      <c r="B176" s="24">
        <v>0.63733181049858745</v>
      </c>
    </row>
    <row r="177" spans="1:2" x14ac:dyDescent="0.2">
      <c r="A177" s="23">
        <v>2.4756718988825823</v>
      </c>
      <c r="B177" s="24">
        <v>0.44664800228496232</v>
      </c>
    </row>
    <row r="178" spans="1:2" x14ac:dyDescent="0.2">
      <c r="A178" s="23">
        <v>4.7365431460997511</v>
      </c>
      <c r="B178" s="24">
        <v>0.74841064669359558</v>
      </c>
    </row>
    <row r="179" spans="1:2" x14ac:dyDescent="0.2">
      <c r="A179" s="23">
        <v>3.4191693254555271</v>
      </c>
      <c r="B179" s="24">
        <v>0.58454809675372488</v>
      </c>
    </row>
    <row r="180" spans="1:2" x14ac:dyDescent="0.2">
      <c r="A180" s="23">
        <v>2.1547421237804576</v>
      </c>
      <c r="B180" s="24">
        <v>0.38345097667711325</v>
      </c>
    </row>
    <row r="181" spans="1:2" x14ac:dyDescent="0.2">
      <c r="A181" s="23">
        <v>1.9377515348065406</v>
      </c>
      <c r="B181" s="24">
        <v>0.23896640492830989</v>
      </c>
    </row>
    <row r="182" spans="1:2" x14ac:dyDescent="0.2">
      <c r="A182" s="23">
        <v>3.3613139771273466</v>
      </c>
      <c r="B182" s="24">
        <v>0.57688979977117916</v>
      </c>
    </row>
    <row r="183" spans="1:2" x14ac:dyDescent="0.2">
      <c r="A183" s="23">
        <v>2.0901880876030683</v>
      </c>
      <c r="B183" s="24">
        <v>0.36720839729485477</v>
      </c>
    </row>
    <row r="184" spans="1:2" x14ac:dyDescent="0.2">
      <c r="A184" s="23">
        <v>2.1685099475667062</v>
      </c>
      <c r="B184" s="24">
        <v>0.38666865428790365</v>
      </c>
    </row>
    <row r="185" spans="1:2" x14ac:dyDescent="0.2">
      <c r="A185" s="23">
        <v>3.0826271446935181</v>
      </c>
      <c r="B185" s="24">
        <v>0.53901562921421098</v>
      </c>
    </row>
    <row r="186" spans="1:2" x14ac:dyDescent="0.2">
      <c r="A186" s="23">
        <v>4.1517113539145383</v>
      </c>
      <c r="B186" s="24">
        <v>0.67753780062655122</v>
      </c>
    </row>
    <row r="187" spans="1:2" x14ac:dyDescent="0.2">
      <c r="A187" s="23">
        <v>2.122133069409903</v>
      </c>
      <c r="B187" s="24">
        <v>0.37551117326309469</v>
      </c>
    </row>
    <row r="188" spans="1:2" x14ac:dyDescent="0.2">
      <c r="A188" s="23">
        <v>2.2156511789234394</v>
      </c>
      <c r="B188" s="24">
        <v>0.39718796759794811</v>
      </c>
    </row>
    <row r="189" spans="1:2" x14ac:dyDescent="0.2">
      <c r="A189" s="23">
        <v>3.1528051245168762</v>
      </c>
      <c r="B189" s="24">
        <v>0.54872674118159015</v>
      </c>
    </row>
    <row r="190" spans="1:2" x14ac:dyDescent="0.2">
      <c r="A190" s="23">
        <v>4.9045807471742666</v>
      </c>
      <c r="B190" s="24">
        <v>0.76842504540770995</v>
      </c>
    </row>
    <row r="191" spans="1:2" x14ac:dyDescent="0.2">
      <c r="A191" s="23">
        <v>2.7690992507876149</v>
      </c>
      <c r="B191" s="24">
        <v>0.49366571192932496</v>
      </c>
    </row>
    <row r="192" spans="1:2" x14ac:dyDescent="0.2">
      <c r="A192" s="23">
        <v>4.0273598165604918</v>
      </c>
      <c r="B192" s="24">
        <v>0.66215809564782102</v>
      </c>
    </row>
    <row r="193" spans="1:2" x14ac:dyDescent="0.2">
      <c r="A193" s="23">
        <v>2.3064285974558207</v>
      </c>
      <c r="B193" s="24">
        <v>0.41577825404892771</v>
      </c>
    </row>
    <row r="194" spans="1:2" x14ac:dyDescent="0.2">
      <c r="A194" s="23">
        <v>5.0506998341049663</v>
      </c>
      <c r="B194" s="24">
        <v>0.78572875651605467</v>
      </c>
    </row>
    <row r="195" spans="1:2" x14ac:dyDescent="0.2">
      <c r="A195" s="23">
        <v>2.3042586131674647</v>
      </c>
      <c r="B195" s="24">
        <v>0.41535432271426148</v>
      </c>
    </row>
    <row r="196" spans="1:2" x14ac:dyDescent="0.2">
      <c r="A196" s="23">
        <v>3.7474801065244057</v>
      </c>
      <c r="B196" s="24">
        <v>0.62700743549595583</v>
      </c>
    </row>
    <row r="197" spans="1:2" x14ac:dyDescent="0.2">
      <c r="A197" s="23">
        <v>2.9019171476738697</v>
      </c>
      <c r="B197" s="24">
        <v>0.51332781380023884</v>
      </c>
    </row>
    <row r="198" spans="1:2" x14ac:dyDescent="0.2">
      <c r="A198" s="23">
        <v>2.3807828111331739</v>
      </c>
      <c r="B198" s="24">
        <v>0.42982502297600583</v>
      </c>
    </row>
    <row r="199" spans="1:2" x14ac:dyDescent="0.2">
      <c r="A199" s="23">
        <v>3.5660030017010609</v>
      </c>
      <c r="B199" s="24">
        <v>0.60373058549815273</v>
      </c>
    </row>
    <row r="200" spans="1:2" x14ac:dyDescent="0.2">
      <c r="A200" s="23">
        <v>1.9922884067750739</v>
      </c>
      <c r="B200" s="24">
        <v>0.21263277427876887</v>
      </c>
    </row>
    <row r="201" spans="1:2" x14ac:dyDescent="0.2">
      <c r="A201" s="23">
        <v>2.8375636781160232</v>
      </c>
      <c r="B201" s="24">
        <v>0.50389668207456917</v>
      </c>
    </row>
    <row r="202" spans="1:2" x14ac:dyDescent="0.2">
      <c r="A202" s="23">
        <v>5.1756230565368044</v>
      </c>
      <c r="B202" s="24">
        <v>0.80045591408737848</v>
      </c>
    </row>
    <row r="203" spans="1:2" x14ac:dyDescent="0.2">
      <c r="A203" s="23">
        <v>2.7065155162965153</v>
      </c>
      <c r="B203" s="24">
        <v>0.48411072091751772</v>
      </c>
    </row>
    <row r="204" spans="1:2" x14ac:dyDescent="0.2">
      <c r="A204" s="23">
        <v>2.9461050111597902</v>
      </c>
      <c r="B204" s="24">
        <v>0.51971056480446454</v>
      </c>
    </row>
    <row r="205" spans="1:2" x14ac:dyDescent="0.2">
      <c r="A205" s="23">
        <v>1.9677882972875358</v>
      </c>
      <c r="B205" s="24">
        <v>0.32606266270223982</v>
      </c>
    </row>
    <row r="206" spans="1:2" x14ac:dyDescent="0.2">
      <c r="A206" s="23">
        <v>2.3953991922543181</v>
      </c>
      <c r="B206" s="24">
        <v>0.43248868772951649</v>
      </c>
    </row>
    <row r="207" spans="1:2" x14ac:dyDescent="0.2">
      <c r="A207" s="23">
        <v>3.8298232773703771</v>
      </c>
      <c r="B207" s="24">
        <v>0.63743458821020504</v>
      </c>
    </row>
    <row r="208" spans="1:2" x14ac:dyDescent="0.2">
      <c r="A208" s="23">
        <v>3.7210818677570785</v>
      </c>
      <c r="B208" s="24">
        <v>0.62364785429849734</v>
      </c>
    </row>
    <row r="209" spans="1:2" x14ac:dyDescent="0.2">
      <c r="A209" s="23">
        <v>1.9982715263481534</v>
      </c>
      <c r="B209" s="24">
        <v>0.33855783201556189</v>
      </c>
    </row>
    <row r="210" spans="1:2" x14ac:dyDescent="0.2">
      <c r="A210" s="23">
        <v>2.0674288066854465</v>
      </c>
      <c r="B210" s="24">
        <v>0.36089357218040019</v>
      </c>
    </row>
    <row r="211" spans="1:2" x14ac:dyDescent="0.2">
      <c r="A211" s="23">
        <v>1.9111281802557505</v>
      </c>
      <c r="B211" s="24">
        <v>0.28034539857667556</v>
      </c>
    </row>
    <row r="212" spans="1:2" x14ac:dyDescent="0.2">
      <c r="A212" s="23">
        <v>3.2620338366219599</v>
      </c>
      <c r="B212" s="24">
        <v>0.56359804583586848</v>
      </c>
    </row>
    <row r="213" spans="1:2" x14ac:dyDescent="0.2">
      <c r="A213" s="23">
        <v>2.0302389757418928</v>
      </c>
      <c r="B213" s="24">
        <v>0.34961640408528843</v>
      </c>
    </row>
    <row r="214" spans="1:2" x14ac:dyDescent="0.2">
      <c r="A214" s="23">
        <v>2.2352427069598888</v>
      </c>
      <c r="B214" s="24">
        <v>0.40136496290957069</v>
      </c>
    </row>
    <row r="215" spans="1:2" x14ac:dyDescent="0.2">
      <c r="A215" s="23">
        <v>3.2130747987263319</v>
      </c>
      <c r="B215" s="24">
        <v>0.55696671491337701</v>
      </c>
    </row>
    <row r="216" spans="1:2" x14ac:dyDescent="0.2">
      <c r="A216" s="23">
        <v>4.074666808836394</v>
      </c>
      <c r="B216" s="24">
        <v>0.66802445013918565</v>
      </c>
    </row>
    <row r="217" spans="1:2" x14ac:dyDescent="0.2">
      <c r="A217" s="23">
        <v>3.1218379209940426</v>
      </c>
      <c r="B217" s="24">
        <v>0.54445772148576399</v>
      </c>
    </row>
    <row r="218" spans="1:2" x14ac:dyDescent="0.2">
      <c r="A218" s="23">
        <v>5.3639386671236844</v>
      </c>
      <c r="B218" s="24">
        <v>0.82255197437143834</v>
      </c>
    </row>
    <row r="219" spans="1:2" x14ac:dyDescent="0.2">
      <c r="A219" s="23">
        <v>2.5478966084328771</v>
      </c>
      <c r="B219" s="24">
        <v>0.45881639081960945</v>
      </c>
    </row>
    <row r="220" spans="1:2" x14ac:dyDescent="0.2">
      <c r="A220" s="23">
        <v>1.9775521279010484</v>
      </c>
      <c r="B220" s="24">
        <v>0.33034806708186454</v>
      </c>
    </row>
    <row r="221" spans="1:2" x14ac:dyDescent="0.2">
      <c r="A221" s="23">
        <v>2.0797846156823288</v>
      </c>
      <c r="B221" s="24">
        <v>0.36436833211887942</v>
      </c>
    </row>
    <row r="222" spans="1:2" x14ac:dyDescent="0.2">
      <c r="A222" s="23">
        <v>3.3090869207823199</v>
      </c>
      <c r="B222" s="24">
        <v>0.56992238784424298</v>
      </c>
    </row>
    <row r="223" spans="1:2" x14ac:dyDescent="0.2">
      <c r="A223" s="23">
        <v>1.9304324111841262</v>
      </c>
      <c r="B223" s="24">
        <v>0.24410753381194092</v>
      </c>
    </row>
    <row r="224" spans="1:2" x14ac:dyDescent="0.2">
      <c r="A224" s="23">
        <v>2.0564714896601455</v>
      </c>
      <c r="B224" s="24">
        <v>0.35770917085834919</v>
      </c>
    </row>
    <row r="225" spans="1:2" x14ac:dyDescent="0.2">
      <c r="A225" s="23">
        <v>1.9731100091067724</v>
      </c>
      <c r="B225" s="24">
        <v>0.32843797463755714</v>
      </c>
    </row>
    <row r="226" spans="1:2" x14ac:dyDescent="0.2">
      <c r="A226" s="23">
        <v>1.9103727285817591</v>
      </c>
      <c r="B226" s="24">
        <v>0.27477291200009596</v>
      </c>
    </row>
    <row r="227" spans="1:2" x14ac:dyDescent="0.2">
      <c r="A227" s="23">
        <v>4.2270365295933843</v>
      </c>
      <c r="B227" s="24">
        <v>0.68679306876044566</v>
      </c>
    </row>
    <row r="228" spans="1:2" x14ac:dyDescent="0.2">
      <c r="A228" s="23">
        <v>4.7686590406634828</v>
      </c>
      <c r="B228" s="24">
        <v>0.75224604557260699</v>
      </c>
    </row>
    <row r="229" spans="1:2" x14ac:dyDescent="0.2">
      <c r="A229" s="23">
        <v>3.2046242179249012</v>
      </c>
      <c r="B229" s="24">
        <v>0.55581660568191671</v>
      </c>
    </row>
    <row r="230" spans="1:2" x14ac:dyDescent="0.2">
      <c r="A230" s="23">
        <v>2.27827400722482</v>
      </c>
      <c r="B230" s="24">
        <v>0.41020732621188405</v>
      </c>
    </row>
    <row r="231" spans="1:2" x14ac:dyDescent="0.2">
      <c r="A231" s="23">
        <v>3.6922897984471041</v>
      </c>
      <c r="B231" s="24">
        <v>0.61997387409033344</v>
      </c>
    </row>
    <row r="232" spans="1:2" x14ac:dyDescent="0.2">
      <c r="A232" s="23">
        <v>4.9337577098404273</v>
      </c>
      <c r="B232" s="24">
        <v>0.77188732528533255</v>
      </c>
    </row>
    <row r="233" spans="1:2" x14ac:dyDescent="0.2">
      <c r="A233" s="23">
        <v>2.1718276395838201</v>
      </c>
      <c r="B233" s="24">
        <v>0.38743332928356145</v>
      </c>
    </row>
    <row r="234" spans="1:2" x14ac:dyDescent="0.2">
      <c r="A234" s="23">
        <v>2.2600417021266161</v>
      </c>
      <c r="B234" s="24">
        <v>0.40651265622354371</v>
      </c>
    </row>
    <row r="235" spans="1:2" x14ac:dyDescent="0.2">
      <c r="A235" s="23">
        <v>2.3917595388880213</v>
      </c>
      <c r="B235" s="24">
        <v>0.43182810126769494</v>
      </c>
    </row>
    <row r="236" spans="1:2" x14ac:dyDescent="0.2">
      <c r="A236" s="23">
        <v>2.043261701427006</v>
      </c>
      <c r="B236" s="24">
        <v>0.35372428774952575</v>
      </c>
    </row>
    <row r="237" spans="1:2" x14ac:dyDescent="0.2">
      <c r="A237" s="23">
        <v>3.8348781363245532</v>
      </c>
      <c r="B237" s="24">
        <v>0.63807221011209436</v>
      </c>
    </row>
    <row r="238" spans="1:2" x14ac:dyDescent="0.2">
      <c r="A238" s="23">
        <v>4.7557041721740267</v>
      </c>
      <c r="B238" s="24">
        <v>0.75069952783797433</v>
      </c>
    </row>
    <row r="239" spans="1:2" x14ac:dyDescent="0.2">
      <c r="A239" s="23">
        <v>2.3546672584765789</v>
      </c>
      <c r="B239" s="24">
        <v>0.42499069270298534</v>
      </c>
    </row>
    <row r="240" spans="1:2" x14ac:dyDescent="0.2">
      <c r="A240" s="23">
        <v>1.910932909450541</v>
      </c>
      <c r="B240" s="24">
        <v>0.26939280870193805</v>
      </c>
    </row>
    <row r="241" spans="1:2" x14ac:dyDescent="0.2">
      <c r="A241" s="23">
        <v>3.457651546025879</v>
      </c>
      <c r="B241" s="24">
        <v>0.58960925244534246</v>
      </c>
    </row>
    <row r="242" spans="1:2" x14ac:dyDescent="0.2">
      <c r="A242" s="23">
        <v>2.2481688879539776</v>
      </c>
      <c r="B242" s="24">
        <v>0.40406656947306036</v>
      </c>
    </row>
    <row r="243" spans="1:2" x14ac:dyDescent="0.2">
      <c r="A243" s="23">
        <v>3.6097531089020936</v>
      </c>
      <c r="B243" s="24">
        <v>0.60938254508038159</v>
      </c>
    </row>
    <row r="244" spans="1:2" x14ac:dyDescent="0.2">
      <c r="A244" s="23">
        <v>2.1988134748525301</v>
      </c>
      <c r="B244" s="24">
        <v>0.39351183299438136</v>
      </c>
    </row>
    <row r="245" spans="1:2" x14ac:dyDescent="0.2">
      <c r="A245" s="23">
        <v>3.8520560576484129</v>
      </c>
      <c r="B245" s="24">
        <v>0.64023697577514704</v>
      </c>
    </row>
    <row r="246" spans="1:2" x14ac:dyDescent="0.2">
      <c r="A246" s="23">
        <v>4.5961094462508321</v>
      </c>
      <c r="B246" s="24">
        <v>0.73157846068369836</v>
      </c>
    </row>
    <row r="247" spans="1:2" x14ac:dyDescent="0.2">
      <c r="A247" s="23">
        <v>1.9170195827197345</v>
      </c>
      <c r="B247" s="24">
        <v>0.29190588665788492</v>
      </c>
    </row>
    <row r="248" spans="1:2" x14ac:dyDescent="0.2">
      <c r="A248" s="23">
        <v>3.8714282025020474</v>
      </c>
      <c r="B248" s="24">
        <v>0.64267448569263042</v>
      </c>
    </row>
    <row r="249" spans="1:2" x14ac:dyDescent="0.2">
      <c r="A249" s="23">
        <v>3.566658546870916</v>
      </c>
      <c r="B249" s="24">
        <v>0.60381547656304957</v>
      </c>
    </row>
    <row r="250" spans="1:2" x14ac:dyDescent="0.2">
      <c r="A250" s="23">
        <v>2.2728635580207928</v>
      </c>
      <c r="B250" s="24">
        <v>0.13980495750114685</v>
      </c>
    </row>
    <row r="251" spans="1:2" x14ac:dyDescent="0.2">
      <c r="A251" s="23">
        <v>1.9672213212423206</v>
      </c>
      <c r="B251" s="24">
        <v>0.32580350804547087</v>
      </c>
    </row>
    <row r="252" spans="1:2" x14ac:dyDescent="0.2">
      <c r="A252" s="23">
        <v>2.7744403909171544</v>
      </c>
      <c r="B252" s="24">
        <v>0.49447181252103128</v>
      </c>
    </row>
    <row r="253" spans="1:2" x14ac:dyDescent="0.2">
      <c r="A253" s="23">
        <v>3.258846184219482</v>
      </c>
      <c r="B253" s="24">
        <v>0.56316790362715274</v>
      </c>
    </row>
    <row r="254" spans="1:2" x14ac:dyDescent="0.2">
      <c r="A254" s="23">
        <v>2.106365825720419</v>
      </c>
      <c r="B254" s="24">
        <v>0.17743714763061375</v>
      </c>
    </row>
    <row r="255" spans="1:2" x14ac:dyDescent="0.2">
      <c r="A255" s="23">
        <v>3.5110555396704726</v>
      </c>
      <c r="B255" s="24">
        <v>0.59659224161020541</v>
      </c>
    </row>
    <row r="256" spans="1:2" x14ac:dyDescent="0.2">
      <c r="A256" s="23">
        <v>2.8150558228848244</v>
      </c>
      <c r="B256" s="24">
        <v>0.50055695432496317</v>
      </c>
    </row>
    <row r="257" spans="1:2" x14ac:dyDescent="0.2">
      <c r="A257" s="23">
        <v>2.4446160246651401</v>
      </c>
      <c r="B257" s="24">
        <v>0.44125784460221057</v>
      </c>
    </row>
    <row r="258" spans="1:2" x14ac:dyDescent="0.2">
      <c r="A258" s="23">
        <v>2.1537830941404841</v>
      </c>
      <c r="B258" s="24">
        <v>0.38322407191481533</v>
      </c>
    </row>
    <row r="259" spans="1:2" x14ac:dyDescent="0.2">
      <c r="A259" s="23">
        <v>2.1951724170728131</v>
      </c>
      <c r="B259" s="24">
        <v>0.15621775445051245</v>
      </c>
    </row>
    <row r="260" spans="1:2" x14ac:dyDescent="0.2">
      <c r="A260" s="23">
        <v>2.6717318983691287</v>
      </c>
      <c r="B260" s="24">
        <v>0.47870602213007346</v>
      </c>
    </row>
    <row r="261" spans="1:2" x14ac:dyDescent="0.2">
      <c r="A261" s="23">
        <v>2.3710917891150021</v>
      </c>
      <c r="B261" s="24">
        <v>0.42804264910856554</v>
      </c>
    </row>
    <row r="262" spans="1:2" x14ac:dyDescent="0.2">
      <c r="A262" s="23">
        <v>2.3126934055927846</v>
      </c>
      <c r="B262" s="24">
        <v>0.41699729814983066</v>
      </c>
    </row>
    <row r="263" spans="1:2" x14ac:dyDescent="0.2">
      <c r="A263" s="23">
        <v>3.8772258985453099</v>
      </c>
      <c r="B263" s="24">
        <v>0.64340321750029494</v>
      </c>
    </row>
    <row r="264" spans="1:2" x14ac:dyDescent="0.2">
      <c r="A264" s="23">
        <v>2.1619233139348024</v>
      </c>
      <c r="B264" s="24">
        <v>0.38513840912914249</v>
      </c>
    </row>
    <row r="265" spans="1:2" x14ac:dyDescent="0.2">
      <c r="A265" s="23">
        <v>3.2885356486269917</v>
      </c>
      <c r="B265" s="24">
        <v>0.56716580170856568</v>
      </c>
    </row>
    <row r="266" spans="1:2" x14ac:dyDescent="0.2">
      <c r="A266" s="23">
        <v>2.9329354849870191</v>
      </c>
      <c r="B266" s="24">
        <v>0.51781575793530021</v>
      </c>
    </row>
    <row r="267" spans="1:2" x14ac:dyDescent="0.2">
      <c r="A267" s="23">
        <v>4.9327601698083026</v>
      </c>
      <c r="B267" s="24">
        <v>0.77176901236941786</v>
      </c>
    </row>
    <row r="268" spans="1:2" x14ac:dyDescent="0.2">
      <c r="A268" s="23">
        <v>3.8298476618825497</v>
      </c>
      <c r="B268" s="24">
        <v>0.63743766475026675</v>
      </c>
    </row>
    <row r="269" spans="1:2" x14ac:dyDescent="0.2">
      <c r="A269" s="23">
        <v>2.7177794347286359</v>
      </c>
      <c r="B269" s="24">
        <v>0.48584596578578748</v>
      </c>
    </row>
    <row r="270" spans="1:2" x14ac:dyDescent="0.2">
      <c r="A270" s="23">
        <v>2.8750114855822977</v>
      </c>
      <c r="B270" s="24">
        <v>0.50940514831652894</v>
      </c>
    </row>
    <row r="271" spans="1:2" x14ac:dyDescent="0.2">
      <c r="A271" s="23">
        <v>2.0904027535676799</v>
      </c>
      <c r="B271" s="24">
        <v>0.36726623105268358</v>
      </c>
    </row>
    <row r="272" spans="1:2" x14ac:dyDescent="0.2">
      <c r="A272" s="23">
        <v>4.2022542372756861</v>
      </c>
      <c r="B272" s="24">
        <v>0.68375285170932454</v>
      </c>
    </row>
    <row r="273" spans="1:2" x14ac:dyDescent="0.2">
      <c r="A273" s="23">
        <v>1.910439434905328</v>
      </c>
      <c r="B273" s="24">
        <v>0.27268841294015067</v>
      </c>
    </row>
    <row r="274" spans="1:2" x14ac:dyDescent="0.2">
      <c r="A274" s="23">
        <v>2.1506856478609833</v>
      </c>
      <c r="B274" s="24">
        <v>0.16643472425244724</v>
      </c>
    </row>
    <row r="275" spans="1:2" x14ac:dyDescent="0.2">
      <c r="A275" s="23">
        <v>4.6003581258848376</v>
      </c>
      <c r="B275" s="24">
        <v>0.73208922404869714</v>
      </c>
    </row>
    <row r="276" spans="1:2" x14ac:dyDescent="0.2">
      <c r="A276" s="23">
        <v>1.9625485971323979</v>
      </c>
      <c r="B276" s="24">
        <v>0.32361866180712878</v>
      </c>
    </row>
    <row r="277" spans="1:2" x14ac:dyDescent="0.2">
      <c r="A277" s="23">
        <v>2.3408493500000009</v>
      </c>
      <c r="B277" s="24">
        <v>0.42239121479193342</v>
      </c>
    </row>
    <row r="278" spans="1:2" x14ac:dyDescent="0.2">
      <c r="A278" s="23">
        <v>2.7397983331289759</v>
      </c>
      <c r="B278" s="24">
        <v>0.48921796207976687</v>
      </c>
    </row>
    <row r="279" spans="1:2" x14ac:dyDescent="0.2">
      <c r="A279" s="23">
        <v>3.8121117056438103</v>
      </c>
      <c r="B279" s="24">
        <v>0.6351982338137474</v>
      </c>
    </row>
    <row r="280" spans="1:2" x14ac:dyDescent="0.2">
      <c r="A280" s="23">
        <v>2.6114034807850746</v>
      </c>
      <c r="B280" s="24">
        <v>0.46915267369439728</v>
      </c>
    </row>
    <row r="281" spans="1:2" x14ac:dyDescent="0.2">
      <c r="A281" s="23">
        <v>3.5390649437704336</v>
      </c>
      <c r="B281" s="24">
        <v>0.60023670108764171</v>
      </c>
    </row>
    <row r="282" spans="1:2" x14ac:dyDescent="0.2">
      <c r="A282" s="23">
        <v>2.7907924827552346</v>
      </c>
      <c r="B282" s="24">
        <v>0.49693109212722303</v>
      </c>
    </row>
    <row r="283" spans="1:2" x14ac:dyDescent="0.2">
      <c r="A283" s="23">
        <v>2.0056446673806985</v>
      </c>
      <c r="B283" s="24">
        <v>0.34125481328884233</v>
      </c>
    </row>
    <row r="284" spans="1:2" x14ac:dyDescent="0.2">
      <c r="A284" s="23">
        <v>2.9419359834257683</v>
      </c>
      <c r="B284" s="24">
        <v>0.51911140337432038</v>
      </c>
    </row>
    <row r="285" spans="1:2" x14ac:dyDescent="0.2">
      <c r="A285" s="23">
        <v>1.9668748376840641</v>
      </c>
      <c r="B285" s="24">
        <v>0.32564452759296397</v>
      </c>
    </row>
    <row r="286" spans="1:2" x14ac:dyDescent="0.2">
      <c r="A286" s="23">
        <v>3.2691068329173842</v>
      </c>
      <c r="B286" s="24">
        <v>0.56455169487714818</v>
      </c>
    </row>
    <row r="287" spans="1:2" x14ac:dyDescent="0.2">
      <c r="A287" s="23">
        <v>4.0265917136788243</v>
      </c>
      <c r="B287" s="24">
        <v>0.66206268331716223</v>
      </c>
    </row>
    <row r="288" spans="1:2" x14ac:dyDescent="0.2">
      <c r="A288" s="23">
        <v>2.3862241694158937</v>
      </c>
      <c r="B288" s="24">
        <v>0.43082004003925639</v>
      </c>
    </row>
    <row r="289" spans="1:2" x14ac:dyDescent="0.2">
      <c r="A289" s="23">
        <v>2.4042956433314937</v>
      </c>
      <c r="B289" s="24">
        <v>0.43409603782208245</v>
      </c>
    </row>
    <row r="290" spans="1:2" x14ac:dyDescent="0.2">
      <c r="A290" s="23">
        <v>2.1555745935533119</v>
      </c>
      <c r="B290" s="24">
        <v>0.16527574871822451</v>
      </c>
    </row>
    <row r="291" spans="1:2" x14ac:dyDescent="0.2">
      <c r="A291" s="23">
        <v>2.9811566776049316</v>
      </c>
      <c r="B291" s="24">
        <v>0.52472420950448062</v>
      </c>
    </row>
    <row r="292" spans="1:2" x14ac:dyDescent="0.2">
      <c r="A292" s="23">
        <v>2.6365756814814199</v>
      </c>
      <c r="B292" s="24">
        <v>0.47316805037643328</v>
      </c>
    </row>
    <row r="293" spans="1:2" x14ac:dyDescent="0.2">
      <c r="A293" s="23">
        <v>2.1124008232235068</v>
      </c>
      <c r="B293" s="24">
        <v>0.37304265495652789</v>
      </c>
    </row>
    <row r="294" spans="1:2" x14ac:dyDescent="0.2">
      <c r="A294" s="23">
        <v>2.5980531974266254</v>
      </c>
      <c r="B294" s="24">
        <v>0.46700507342860781</v>
      </c>
    </row>
    <row r="295" spans="1:2" x14ac:dyDescent="0.2">
      <c r="A295" s="23">
        <v>1.9439047173018211</v>
      </c>
      <c r="B295" s="24">
        <v>0.2351486225616474</v>
      </c>
    </row>
    <row r="296" spans="1:2" x14ac:dyDescent="0.2">
      <c r="A296" s="23">
        <v>4.5274737723450036</v>
      </c>
      <c r="B296" s="24">
        <v>0.72331338790340749</v>
      </c>
    </row>
    <row r="297" spans="1:2" x14ac:dyDescent="0.2">
      <c r="A297" s="23">
        <v>2.2562302742241274</v>
      </c>
      <c r="B297" s="24">
        <v>0.40573097809111802</v>
      </c>
    </row>
    <row r="298" spans="1:2" x14ac:dyDescent="0.2">
      <c r="A298" s="23">
        <v>2.9188684376345191</v>
      </c>
      <c r="B298" s="24">
        <v>0.5157848768109905</v>
      </c>
    </row>
    <row r="299" spans="1:2" x14ac:dyDescent="0.2">
      <c r="A299" s="23">
        <v>2.6374231096937364</v>
      </c>
      <c r="B299" s="24">
        <v>0.47330248115895407</v>
      </c>
    </row>
    <row r="300" spans="1:2" x14ac:dyDescent="0.2">
      <c r="A300" s="23">
        <v>2.8032130262911243</v>
      </c>
      <c r="B300" s="24">
        <v>0.49879059306581025</v>
      </c>
    </row>
    <row r="301" spans="1:2" x14ac:dyDescent="0.2">
      <c r="A301" s="23">
        <v>4.6632879098732287</v>
      </c>
      <c r="B301" s="24">
        <v>0.73964311681215889</v>
      </c>
    </row>
    <row r="302" spans="1:2" x14ac:dyDescent="0.2">
      <c r="A302" s="23">
        <v>2.2618986069564255</v>
      </c>
      <c r="B302" s="24">
        <v>0.40689228882111805</v>
      </c>
    </row>
    <row r="303" spans="1:2" x14ac:dyDescent="0.2">
      <c r="A303" s="23">
        <v>2.0006331009436873</v>
      </c>
      <c r="B303" s="24">
        <v>0.20949062783128802</v>
      </c>
    </row>
    <row r="304" spans="1:2" x14ac:dyDescent="0.2">
      <c r="A304" s="23">
        <v>2.4061858481083891</v>
      </c>
      <c r="B304" s="24">
        <v>0.43443622895376033</v>
      </c>
    </row>
    <row r="305" spans="1:2" x14ac:dyDescent="0.2">
      <c r="A305" s="23">
        <v>2.3427277529614616</v>
      </c>
      <c r="B305" s="24">
        <v>0.42274635921875331</v>
      </c>
    </row>
    <row r="306" spans="1:2" x14ac:dyDescent="0.2">
      <c r="A306" s="23">
        <v>2.0288341983124054</v>
      </c>
      <c r="B306" s="24">
        <v>0.19976197933793988</v>
      </c>
    </row>
    <row r="307" spans="1:2" x14ac:dyDescent="0.2">
      <c r="A307" s="23">
        <v>1.9309060565486023</v>
      </c>
      <c r="B307" s="24">
        <v>0.2437494101878985</v>
      </c>
    </row>
    <row r="308" spans="1:2" x14ac:dyDescent="0.2">
      <c r="A308" s="23">
        <v>2.8576306229715094</v>
      </c>
      <c r="B308" s="24">
        <v>0.50685573677310203</v>
      </c>
    </row>
    <row r="309" spans="1:2" x14ac:dyDescent="0.2">
      <c r="A309" s="23">
        <v>3.3879894611756165</v>
      </c>
      <c r="B309" s="24">
        <v>0.58042838930785057</v>
      </c>
    </row>
    <row r="310" spans="1:2" x14ac:dyDescent="0.2">
      <c r="A310" s="23">
        <v>2.8735967907015953</v>
      </c>
      <c r="B310" s="24">
        <v>0.50919810177616953</v>
      </c>
    </row>
    <row r="311" spans="1:2" x14ac:dyDescent="0.2">
      <c r="A311" s="23">
        <v>3.0192638456185197</v>
      </c>
      <c r="B311" s="24">
        <v>0.53012855229540201</v>
      </c>
    </row>
    <row r="312" spans="1:2" x14ac:dyDescent="0.2">
      <c r="A312" s="23">
        <v>4.3450345217080439</v>
      </c>
      <c r="B312" s="24">
        <v>0.70120767552958929</v>
      </c>
    </row>
    <row r="313" spans="1:2" x14ac:dyDescent="0.2">
      <c r="A313" s="23">
        <v>1.9108187119958557</v>
      </c>
      <c r="B313" s="24">
        <v>0.26993677574610991</v>
      </c>
    </row>
    <row r="314" spans="1:2" x14ac:dyDescent="0.2">
      <c r="A314" s="23">
        <v>2.444897714370343</v>
      </c>
      <c r="B314" s="24">
        <v>0.44130720751593117</v>
      </c>
    </row>
    <row r="315" spans="1:2" x14ac:dyDescent="0.2">
      <c r="A315" s="23">
        <v>2.0863209610688092</v>
      </c>
      <c r="B315" s="24">
        <v>0.36616132614156077</v>
      </c>
    </row>
    <row r="316" spans="1:2" x14ac:dyDescent="0.2">
      <c r="A316" s="23">
        <v>5.1528564880807934</v>
      </c>
      <c r="B316" s="24">
        <v>0.79777628260300959</v>
      </c>
    </row>
    <row r="317" spans="1:2" x14ac:dyDescent="0.2">
      <c r="A317" s="23">
        <v>3.2711478826146942</v>
      </c>
      <c r="B317" s="24">
        <v>0.56482668944107872</v>
      </c>
    </row>
    <row r="318" spans="1:2" x14ac:dyDescent="0.2">
      <c r="A318" s="23">
        <v>1.938745650211505</v>
      </c>
      <c r="B318" s="24">
        <v>0.31060026414894948</v>
      </c>
    </row>
    <row r="319" spans="1:2" x14ac:dyDescent="0.2">
      <c r="A319" s="23">
        <v>2.6393430703146241</v>
      </c>
      <c r="B319" s="24">
        <v>0.47360687567950821</v>
      </c>
    </row>
    <row r="320" spans="1:2" x14ac:dyDescent="0.2">
      <c r="A320" s="23">
        <v>5.2770779808817663</v>
      </c>
      <c r="B320" s="24">
        <v>0.81237497965892824</v>
      </c>
    </row>
    <row r="321" spans="1:2" x14ac:dyDescent="0.2">
      <c r="A321" s="23">
        <v>2.306591509753384</v>
      </c>
      <c r="B321" s="24">
        <v>0.41581004560122259</v>
      </c>
    </row>
    <row r="322" spans="1:2" x14ac:dyDescent="0.2">
      <c r="A322" s="23">
        <v>2.2713884740540595</v>
      </c>
      <c r="B322" s="24">
        <v>0.14010290945727277</v>
      </c>
    </row>
    <row r="323" spans="1:2" x14ac:dyDescent="0.2">
      <c r="A323" s="23">
        <v>1.9104444663505842</v>
      </c>
      <c r="B323" s="24">
        <v>0.27262473842780705</v>
      </c>
    </row>
    <row r="324" spans="1:2" x14ac:dyDescent="0.2">
      <c r="A324" s="23">
        <v>2.3501781562043331</v>
      </c>
      <c r="B324" s="24">
        <v>0.4241494635173787</v>
      </c>
    </row>
    <row r="325" spans="1:2" x14ac:dyDescent="0.2">
      <c r="A325" s="23">
        <v>2.3709118202490331</v>
      </c>
      <c r="B325" s="24">
        <v>0.42800942270767917</v>
      </c>
    </row>
    <row r="326" spans="1:2" x14ac:dyDescent="0.2">
      <c r="A326" s="23">
        <v>3.3766875819319337</v>
      </c>
      <c r="B326" s="24">
        <v>0.57893076742412664</v>
      </c>
    </row>
    <row r="327" spans="1:2" x14ac:dyDescent="0.2">
      <c r="A327" s="23">
        <v>2.4583765620622171</v>
      </c>
      <c r="B327" s="24">
        <v>0.44365894490415858</v>
      </c>
    </row>
    <row r="328" spans="1:2" x14ac:dyDescent="0.2">
      <c r="A328" s="23">
        <v>3.2591461201374647</v>
      </c>
      <c r="B328" s="24">
        <v>0.56320838639259962</v>
      </c>
    </row>
    <row r="329" spans="1:2" x14ac:dyDescent="0.2">
      <c r="A329" s="23">
        <v>4.3168940192475533</v>
      </c>
      <c r="B329" s="24">
        <v>0.69777889522874947</v>
      </c>
    </row>
    <row r="330" spans="1:2" x14ac:dyDescent="0.2">
      <c r="A330" s="23">
        <v>2.3407231198670546</v>
      </c>
      <c r="B330" s="24">
        <v>0.42236732846196423</v>
      </c>
    </row>
    <row r="331" spans="1:2" x14ac:dyDescent="0.2">
      <c r="A331" s="23">
        <v>3.0020935348807694</v>
      </c>
      <c r="B331" s="24">
        <v>0.52769925449144528</v>
      </c>
    </row>
    <row r="332" spans="1:2" x14ac:dyDescent="0.2">
      <c r="A332" s="23">
        <v>2.4567098764391702</v>
      </c>
      <c r="B332" s="24">
        <v>0.44336922525213612</v>
      </c>
    </row>
    <row r="333" spans="1:2" x14ac:dyDescent="0.2">
      <c r="A333" s="23">
        <v>2.1072810425776236</v>
      </c>
      <c r="B333" s="24">
        <v>0.37172358522293042</v>
      </c>
    </row>
    <row r="334" spans="1:2" x14ac:dyDescent="0.2">
      <c r="A334" s="23">
        <v>2.7266486221254032</v>
      </c>
      <c r="B334" s="24">
        <v>0.48720735276667138</v>
      </c>
    </row>
    <row r="335" spans="1:2" x14ac:dyDescent="0.2">
      <c r="A335" s="23">
        <v>4.1954039817901165</v>
      </c>
      <c r="B335" s="24">
        <v>0.68291166278644866</v>
      </c>
    </row>
    <row r="336" spans="1:2" x14ac:dyDescent="0.2">
      <c r="A336" s="23">
        <v>4.9181915878777955</v>
      </c>
      <c r="B336" s="24">
        <v>0.77004062773437343</v>
      </c>
    </row>
    <row r="337" spans="1:2" x14ac:dyDescent="0.2">
      <c r="A337" s="23">
        <v>1.9105123653699307</v>
      </c>
      <c r="B337" s="24">
        <v>0.27700662403113352</v>
      </c>
    </row>
    <row r="338" spans="1:2" x14ac:dyDescent="0.2">
      <c r="A338" s="23">
        <v>4.1793513584997601</v>
      </c>
      <c r="B338" s="24">
        <v>0.68093904162374486</v>
      </c>
    </row>
    <row r="339" spans="1:2" x14ac:dyDescent="0.2">
      <c r="A339" s="23">
        <v>2.420451326384542</v>
      </c>
      <c r="B339" s="24">
        <v>0.43698918280985954</v>
      </c>
    </row>
    <row r="340" spans="1:2" x14ac:dyDescent="0.2">
      <c r="A340" s="23">
        <v>4.142584864585892</v>
      </c>
      <c r="B340" s="24">
        <v>0.6764134110212966</v>
      </c>
    </row>
    <row r="341" spans="1:2" x14ac:dyDescent="0.2">
      <c r="A341" s="23">
        <v>1.9484706572248276</v>
      </c>
      <c r="B341" s="24">
        <v>0.31639058941078535</v>
      </c>
    </row>
    <row r="342" spans="1:2" x14ac:dyDescent="0.2">
      <c r="A342" s="23">
        <v>2.5210259165580715</v>
      </c>
      <c r="B342" s="24">
        <v>0.45434488497259184</v>
      </c>
    </row>
    <row r="343" spans="1:2" x14ac:dyDescent="0.2">
      <c r="A343" s="23">
        <v>3.7465792922928443</v>
      </c>
      <c r="B343" s="24">
        <v>0.62689293118028988</v>
      </c>
    </row>
    <row r="344" spans="1:2" x14ac:dyDescent="0.2">
      <c r="A344" s="23">
        <v>2.8397111124257655</v>
      </c>
      <c r="B344" s="24">
        <v>0.5042141604935233</v>
      </c>
    </row>
    <row r="345" spans="1:2" x14ac:dyDescent="0.2">
      <c r="A345" s="23">
        <v>4.2484105119322413</v>
      </c>
      <c r="B345" s="24">
        <v>0.68941148896002491</v>
      </c>
    </row>
    <row r="346" spans="1:2" x14ac:dyDescent="0.2">
      <c r="A346" s="23">
        <v>2.2533411550876998</v>
      </c>
      <c r="B346" s="24">
        <v>0.40513622461123383</v>
      </c>
    </row>
    <row r="347" spans="1:2" x14ac:dyDescent="0.2">
      <c r="A347" s="23">
        <v>3.34113991240643</v>
      </c>
      <c r="B347" s="24">
        <v>0.57420475390154557</v>
      </c>
    </row>
    <row r="348" spans="1:2" x14ac:dyDescent="0.2">
      <c r="A348" s="23">
        <v>2.5904136277377181</v>
      </c>
      <c r="B348" s="24">
        <v>0.46577029630820593</v>
      </c>
    </row>
    <row r="349" spans="1:2" x14ac:dyDescent="0.2">
      <c r="A349" s="23">
        <v>3.6636853974124963</v>
      </c>
      <c r="B349" s="24">
        <v>0.61631345518573255</v>
      </c>
    </row>
    <row r="350" spans="1:2" x14ac:dyDescent="0.2">
      <c r="A350" s="23">
        <v>2.3941091553970479</v>
      </c>
      <c r="B350" s="24">
        <v>0.43225475134545549</v>
      </c>
    </row>
    <row r="351" spans="1:2" x14ac:dyDescent="0.2">
      <c r="A351" s="23">
        <v>3.1676357831089188</v>
      </c>
      <c r="B351" s="24">
        <v>0.55076257769566006</v>
      </c>
    </row>
    <row r="352" spans="1:2" x14ac:dyDescent="0.2">
      <c r="A352" s="23">
        <v>1.9625266882055821</v>
      </c>
      <c r="B352" s="24">
        <v>0.32360820149518205</v>
      </c>
    </row>
    <row r="353" spans="1:2" x14ac:dyDescent="0.2">
      <c r="A353" s="23">
        <v>2.9551676134355147</v>
      </c>
      <c r="B353" s="24">
        <v>0.52101090261565108</v>
      </c>
    </row>
    <row r="354" spans="1:2" x14ac:dyDescent="0.2">
      <c r="A354" s="23">
        <v>2.4300420947358625</v>
      </c>
      <c r="B354" s="24">
        <v>0.43869157005019499</v>
      </c>
    </row>
    <row r="355" spans="1:2" x14ac:dyDescent="0.2">
      <c r="A355" s="23">
        <v>2.4622677516057987</v>
      </c>
      <c r="B355" s="24">
        <v>0.44433418735922475</v>
      </c>
    </row>
    <row r="356" spans="1:2" x14ac:dyDescent="0.2">
      <c r="A356" s="23">
        <v>2.1279354841588956</v>
      </c>
      <c r="B356" s="24">
        <v>0.1719634973359189</v>
      </c>
    </row>
    <row r="357" spans="1:2" x14ac:dyDescent="0.2">
      <c r="A357" s="23">
        <v>3.8259343640121277</v>
      </c>
      <c r="B357" s="24">
        <v>0.63694384945505489</v>
      </c>
    </row>
    <row r="358" spans="1:2" x14ac:dyDescent="0.2">
      <c r="A358" s="23">
        <v>1.9120674230330232</v>
      </c>
      <c r="B358" s="24">
        <v>0.28326832014745251</v>
      </c>
    </row>
    <row r="359" spans="1:2" x14ac:dyDescent="0.2">
      <c r="A359" s="23">
        <v>3.5949228341382784</v>
      </c>
      <c r="B359" s="24">
        <v>0.60746970854996052</v>
      </c>
    </row>
    <row r="360" spans="1:2" x14ac:dyDescent="0.2">
      <c r="A360" s="23">
        <v>2.1402005378135294</v>
      </c>
      <c r="B360" s="24">
        <v>0.37996926636303685</v>
      </c>
    </row>
    <row r="361" spans="1:2" x14ac:dyDescent="0.2">
      <c r="A361" s="23">
        <v>2.2074215117757876</v>
      </c>
      <c r="B361" s="24">
        <v>0.39540166348566003</v>
      </c>
    </row>
    <row r="362" spans="1:2" x14ac:dyDescent="0.2">
      <c r="A362" s="23">
        <v>3.9332889418024881</v>
      </c>
      <c r="B362" s="24">
        <v>0.65043225294096785</v>
      </c>
    </row>
    <row r="363" spans="1:2" x14ac:dyDescent="0.2">
      <c r="A363" s="23">
        <v>4.0237704761470861</v>
      </c>
      <c r="B363" s="24">
        <v>0.66171218896482997</v>
      </c>
    </row>
    <row r="364" spans="1:2" x14ac:dyDescent="0.2">
      <c r="A364" s="23">
        <v>4.103543287805282</v>
      </c>
      <c r="B364" s="24">
        <v>0.67159583690939562</v>
      </c>
    </row>
    <row r="365" spans="1:2" x14ac:dyDescent="0.2">
      <c r="A365" s="23">
        <v>3.5167619974804016</v>
      </c>
      <c r="B365" s="24">
        <v>0.59733572062413887</v>
      </c>
    </row>
    <row r="366" spans="1:2" x14ac:dyDescent="0.2">
      <c r="A366" s="23">
        <v>3.8380911412702496</v>
      </c>
      <c r="B366" s="24">
        <v>0.63847735555569562</v>
      </c>
    </row>
    <row r="367" spans="1:2" x14ac:dyDescent="0.2">
      <c r="A367" s="23">
        <v>4.3572091890947497</v>
      </c>
      <c r="B367" s="24">
        <v>0.70268944279748258</v>
      </c>
    </row>
    <row r="368" spans="1:2" x14ac:dyDescent="0.2">
      <c r="A368" s="23">
        <v>4.2703041192158171</v>
      </c>
      <c r="B368" s="24">
        <v>0.69209010691379103</v>
      </c>
    </row>
    <row r="369" spans="1:2" x14ac:dyDescent="0.2">
      <c r="A369" s="23">
        <v>2.7798708723140853</v>
      </c>
      <c r="B369" s="24">
        <v>0.49528996369585565</v>
      </c>
    </row>
    <row r="370" spans="1:2" x14ac:dyDescent="0.2">
      <c r="A370" s="23">
        <v>5.121456507986788</v>
      </c>
      <c r="B370" s="24">
        <v>0.79407739354279228</v>
      </c>
    </row>
    <row r="371" spans="1:2" x14ac:dyDescent="0.2">
      <c r="A371" s="23">
        <v>3.6930640353388928</v>
      </c>
      <c r="B371" s="24">
        <v>0.62007280546871235</v>
      </c>
    </row>
    <row r="372" spans="1:2" x14ac:dyDescent="0.2">
      <c r="A372" s="23">
        <v>2.0081040296641066</v>
      </c>
      <c r="B372" s="24">
        <v>0.34213264416052197</v>
      </c>
    </row>
    <row r="373" spans="1:2" x14ac:dyDescent="0.2">
      <c r="A373" s="23">
        <v>2.2626471964037496</v>
      </c>
      <c r="B373" s="24">
        <v>0.40704511377278868</v>
      </c>
    </row>
    <row r="374" spans="1:2" x14ac:dyDescent="0.2">
      <c r="A374" s="23">
        <v>3.1560277034393849</v>
      </c>
      <c r="B374" s="24">
        <v>0.54916958039393671</v>
      </c>
    </row>
    <row r="375" spans="1:2" x14ac:dyDescent="0.2">
      <c r="A375" s="23">
        <v>4.0249692350256616</v>
      </c>
      <c r="B375" s="24">
        <v>0.66186112461211044</v>
      </c>
    </row>
    <row r="376" spans="1:2" x14ac:dyDescent="0.2">
      <c r="A376" s="23">
        <v>3.9005368423300943</v>
      </c>
      <c r="B376" s="24">
        <v>0.64632974347524097</v>
      </c>
    </row>
    <row r="377" spans="1:2" x14ac:dyDescent="0.2">
      <c r="A377" s="23">
        <v>2.6887322614033908</v>
      </c>
      <c r="B377" s="24">
        <v>0.48135645156683998</v>
      </c>
    </row>
    <row r="378" spans="1:2" x14ac:dyDescent="0.2">
      <c r="A378" s="23">
        <v>2.7622264899637869</v>
      </c>
      <c r="B378" s="24">
        <v>0.49262637301410767</v>
      </c>
    </row>
    <row r="379" spans="1:2" x14ac:dyDescent="0.2">
      <c r="A379" s="23">
        <v>2.5723026857801292</v>
      </c>
      <c r="B379" s="24">
        <v>0.46282550394346816</v>
      </c>
    </row>
    <row r="380" spans="1:2" x14ac:dyDescent="0.2">
      <c r="A380" s="23">
        <v>2.0477177967031772</v>
      </c>
      <c r="B380" s="24">
        <v>0.3550876424012725</v>
      </c>
    </row>
    <row r="381" spans="1:2" x14ac:dyDescent="0.2">
      <c r="A381" s="23">
        <v>2.569052225361466</v>
      </c>
      <c r="B381" s="24">
        <v>0.46229431109478214</v>
      </c>
    </row>
    <row r="382" spans="1:2" x14ac:dyDescent="0.2">
      <c r="A382" s="23">
        <v>2.2954313500635184</v>
      </c>
      <c r="B382" s="24">
        <v>0.4136206744983475</v>
      </c>
    </row>
    <row r="383" spans="1:2" x14ac:dyDescent="0.2">
      <c r="A383" s="23">
        <v>1.9501395131894217</v>
      </c>
      <c r="B383" s="24">
        <v>0.31730829365954183</v>
      </c>
    </row>
    <row r="384" spans="1:2" x14ac:dyDescent="0.2">
      <c r="A384" s="23">
        <v>2.5563111038991257</v>
      </c>
      <c r="B384" s="24">
        <v>0.46020405763927669</v>
      </c>
    </row>
    <row r="385" spans="1:2" x14ac:dyDescent="0.2">
      <c r="A385" s="23">
        <v>5.0257596239454836</v>
      </c>
      <c r="B385" s="24">
        <v>0.78278142974829679</v>
      </c>
    </row>
    <row r="386" spans="1:2" x14ac:dyDescent="0.2">
      <c r="A386" s="23">
        <v>3.8667180261234906</v>
      </c>
      <c r="B386" s="24">
        <v>0.64208218929225658</v>
      </c>
    </row>
    <row r="387" spans="1:2" x14ac:dyDescent="0.2">
      <c r="A387" s="23">
        <v>4.3005086618317367</v>
      </c>
      <c r="B387" s="24">
        <v>0.69577991989892929</v>
      </c>
    </row>
    <row r="388" spans="1:2" x14ac:dyDescent="0.2">
      <c r="A388" s="23">
        <v>2.1123648285684036</v>
      </c>
      <c r="B388" s="24">
        <v>0.37303343174155762</v>
      </c>
    </row>
    <row r="389" spans="1:2" x14ac:dyDescent="0.2">
      <c r="A389" s="23">
        <v>1.9597755627516593</v>
      </c>
      <c r="B389" s="24">
        <v>0.2266459237272884</v>
      </c>
    </row>
    <row r="390" spans="1:2" x14ac:dyDescent="0.2">
      <c r="A390" s="23">
        <v>3.2377037288586052</v>
      </c>
      <c r="B390" s="24">
        <v>0.56030931343685131</v>
      </c>
    </row>
    <row r="391" spans="1:2" x14ac:dyDescent="0.2">
      <c r="A391" s="23">
        <v>2.9434160768668165</v>
      </c>
      <c r="B391" s="24">
        <v>0.5193241890935324</v>
      </c>
    </row>
    <row r="392" spans="1:2" x14ac:dyDescent="0.2">
      <c r="A392" s="23">
        <v>4.0556236508387586</v>
      </c>
      <c r="B392" s="24">
        <v>0.66566533545415674</v>
      </c>
    </row>
    <row r="393" spans="1:2" x14ac:dyDescent="0.2">
      <c r="A393" s="23">
        <v>2.152060359930295</v>
      </c>
      <c r="B393" s="24">
        <v>0.16610784818118962</v>
      </c>
    </row>
    <row r="394" spans="1:2" x14ac:dyDescent="0.2">
      <c r="A394" s="23">
        <v>2.0502684370250268</v>
      </c>
      <c r="B394" s="24">
        <v>0.19306433083535618</v>
      </c>
    </row>
    <row r="395" spans="1:2" x14ac:dyDescent="0.2">
      <c r="A395" s="23">
        <v>2.6585598238678374</v>
      </c>
      <c r="B395" s="24">
        <v>0.47664030254597012</v>
      </c>
    </row>
    <row r="396" spans="1:2" x14ac:dyDescent="0.2">
      <c r="A396" s="23">
        <v>4.2247941677089225</v>
      </c>
      <c r="B396" s="24">
        <v>0.6865181721855782</v>
      </c>
    </row>
    <row r="397" spans="1:2" x14ac:dyDescent="0.2">
      <c r="A397" s="23">
        <v>2.127068487493299</v>
      </c>
      <c r="B397" s="24">
        <v>0.37674447518569404</v>
      </c>
    </row>
    <row r="398" spans="1:2" x14ac:dyDescent="0.2">
      <c r="A398" s="23">
        <v>3.5182707613991151</v>
      </c>
      <c r="B398" s="24">
        <v>0.59753220888188274</v>
      </c>
    </row>
    <row r="399" spans="1:2" x14ac:dyDescent="0.2">
      <c r="A399" s="23">
        <v>3.0115128864634348</v>
      </c>
      <c r="B399" s="24">
        <v>0.52903308325335441</v>
      </c>
    </row>
    <row r="400" spans="1:2" x14ac:dyDescent="0.2">
      <c r="A400" s="23">
        <v>1.9215905367288173</v>
      </c>
      <c r="B400" s="24">
        <v>0.29713567485067865</v>
      </c>
    </row>
    <row r="401" spans="1:2" x14ac:dyDescent="0.2">
      <c r="A401" s="23">
        <v>2.6952285716564979</v>
      </c>
      <c r="B401" s="24">
        <v>0.48236472109312234</v>
      </c>
    </row>
    <row r="402" spans="1:2" x14ac:dyDescent="0.2">
      <c r="A402" s="23">
        <v>4.6824535903802014</v>
      </c>
      <c r="B402" s="24">
        <v>0.74193957953819445</v>
      </c>
    </row>
    <row r="403" spans="1:2" x14ac:dyDescent="0.2">
      <c r="A403" s="23">
        <v>3.8717142314707522</v>
      </c>
      <c r="B403" s="24">
        <v>0.64271044585263337</v>
      </c>
    </row>
    <row r="404" spans="1:2" x14ac:dyDescent="0.2">
      <c r="A404" s="23">
        <v>1.9200482344423146</v>
      </c>
      <c r="B404" s="24">
        <v>0.2534079284537345</v>
      </c>
    </row>
    <row r="405" spans="1:2" x14ac:dyDescent="0.2">
      <c r="A405" s="23">
        <v>3.9396928079834046</v>
      </c>
      <c r="B405" s="24">
        <v>0.65123315563264828</v>
      </c>
    </row>
    <row r="406" spans="1:2" x14ac:dyDescent="0.2">
      <c r="A406" s="23">
        <v>3.3696038298063815</v>
      </c>
      <c r="B406" s="24">
        <v>0.57799089149018734</v>
      </c>
    </row>
    <row r="407" spans="1:2" x14ac:dyDescent="0.2">
      <c r="A407" s="23">
        <v>2.8239155446262751</v>
      </c>
      <c r="B407" s="24">
        <v>0.50187423895811101</v>
      </c>
    </row>
    <row r="408" spans="1:2" x14ac:dyDescent="0.2">
      <c r="A408" s="23">
        <v>2.6954254491211125</v>
      </c>
      <c r="B408" s="24">
        <v>0.4823952393134745</v>
      </c>
    </row>
    <row r="409" spans="1:2" x14ac:dyDescent="0.2">
      <c r="A409" s="23">
        <v>2.3055368937978402</v>
      </c>
      <c r="B409" s="24">
        <v>0.41560415533383765</v>
      </c>
    </row>
    <row r="410" spans="1:2" x14ac:dyDescent="0.2">
      <c r="A410" s="23">
        <v>1.9443497898233606</v>
      </c>
      <c r="B410" s="24">
        <v>0.31403707407980785</v>
      </c>
    </row>
    <row r="411" spans="1:2" x14ac:dyDescent="0.2">
      <c r="A411" s="23">
        <v>2.6587647628244273</v>
      </c>
      <c r="B411" s="24">
        <v>0.47667252527405307</v>
      </c>
    </row>
    <row r="412" spans="1:2" x14ac:dyDescent="0.2">
      <c r="A412" s="23">
        <v>3.3567402876993246</v>
      </c>
      <c r="B412" s="24">
        <v>0.5762817498152798</v>
      </c>
    </row>
    <row r="413" spans="1:2" x14ac:dyDescent="0.2">
      <c r="A413" s="23">
        <v>2.226859500693664</v>
      </c>
      <c r="B413" s="24">
        <v>0.39959020641064324</v>
      </c>
    </row>
    <row r="414" spans="1:2" x14ac:dyDescent="0.2">
      <c r="A414" s="23">
        <v>2.3025210230869204</v>
      </c>
      <c r="B414" s="24">
        <v>0.4150142315165336</v>
      </c>
    </row>
    <row r="415" spans="1:2" x14ac:dyDescent="0.2">
      <c r="A415" s="23">
        <v>1.9393106523462815</v>
      </c>
      <c r="B415" s="24">
        <v>0.31096096377019644</v>
      </c>
    </row>
    <row r="416" spans="1:2" x14ac:dyDescent="0.2">
      <c r="A416" s="23">
        <v>3.3165696614075264</v>
      </c>
      <c r="B416" s="24">
        <v>0.57092392916265733</v>
      </c>
    </row>
    <row r="417" spans="1:2" x14ac:dyDescent="0.2">
      <c r="A417" s="23">
        <v>5.3652041068539624</v>
      </c>
      <c r="B417" s="24">
        <v>0.82270005905778509</v>
      </c>
    </row>
    <row r="418" spans="1:2" x14ac:dyDescent="0.2">
      <c r="A418" s="23">
        <v>3.1933621767299929</v>
      </c>
      <c r="B418" s="24">
        <v>0.55428125730086997</v>
      </c>
    </row>
    <row r="419" spans="1:2" x14ac:dyDescent="0.2">
      <c r="A419" s="23">
        <v>2.2708111789175636</v>
      </c>
      <c r="B419" s="24">
        <v>0.40870374118514852</v>
      </c>
    </row>
    <row r="420" spans="1:2" x14ac:dyDescent="0.2">
      <c r="A420" s="23">
        <v>2.9841630288720791</v>
      </c>
      <c r="B420" s="24">
        <v>0.52515228541887204</v>
      </c>
    </row>
    <row r="421" spans="1:2" x14ac:dyDescent="0.2">
      <c r="A421" s="23">
        <v>4.651796234723145</v>
      </c>
      <c r="B421" s="24">
        <v>0.73826525440756663</v>
      </c>
    </row>
    <row r="422" spans="1:2" x14ac:dyDescent="0.2">
      <c r="A422" s="23">
        <v>2.6133541492665349</v>
      </c>
      <c r="B422" s="24">
        <v>0.46946540369660578</v>
      </c>
    </row>
    <row r="423" spans="1:2" x14ac:dyDescent="0.2">
      <c r="A423" s="23">
        <v>2.5438729411752741</v>
      </c>
      <c r="B423" s="24">
        <v>0.45815075641675407</v>
      </c>
    </row>
    <row r="424" spans="1:2" x14ac:dyDescent="0.2">
      <c r="A424" s="23">
        <v>4.8006180661353506</v>
      </c>
      <c r="B424" s="24">
        <v>0.75605781135653738</v>
      </c>
    </row>
    <row r="425" spans="1:2" x14ac:dyDescent="0.2">
      <c r="A425" s="23">
        <v>2.0583804806179447</v>
      </c>
      <c r="B425" s="24">
        <v>0.35827143096400332</v>
      </c>
    </row>
    <row r="426" spans="1:2" x14ac:dyDescent="0.2">
      <c r="A426" s="23">
        <v>1.9766446058533396</v>
      </c>
      <c r="B426" s="24">
        <v>0.32996283418846972</v>
      </c>
    </row>
    <row r="427" spans="1:2" x14ac:dyDescent="0.2">
      <c r="A427" s="23">
        <v>2.0534785629772263</v>
      </c>
      <c r="B427" s="24">
        <v>0.35682099506863574</v>
      </c>
    </row>
    <row r="428" spans="1:2" x14ac:dyDescent="0.2">
      <c r="A428" s="23">
        <v>2.1011886720872952</v>
      </c>
      <c r="B428" s="24">
        <v>0.37013450958441241</v>
      </c>
    </row>
    <row r="429" spans="1:2" x14ac:dyDescent="0.2">
      <c r="A429" s="23">
        <v>1.9180446489124765</v>
      </c>
      <c r="B429" s="24">
        <v>0.29320489413961115</v>
      </c>
    </row>
    <row r="430" spans="1:2" x14ac:dyDescent="0.2">
      <c r="A430" s="23">
        <v>4.2714175906543295</v>
      </c>
      <c r="B430" s="24">
        <v>0.69222624451931558</v>
      </c>
    </row>
    <row r="431" spans="1:2" x14ac:dyDescent="0.2">
      <c r="A431" s="23">
        <v>2.7015718927072525</v>
      </c>
      <c r="B431" s="24">
        <v>0.4833468806447635</v>
      </c>
    </row>
    <row r="432" spans="1:2" x14ac:dyDescent="0.2">
      <c r="A432" s="23">
        <v>3.2888051196649553</v>
      </c>
      <c r="B432" s="24">
        <v>0.56720200276049082</v>
      </c>
    </row>
    <row r="433" spans="1:2" x14ac:dyDescent="0.2">
      <c r="A433" s="23">
        <v>3.0990179034131558</v>
      </c>
      <c r="B433" s="24">
        <v>0.54129563474449061</v>
      </c>
    </row>
    <row r="434" spans="1:2" x14ac:dyDescent="0.2">
      <c r="A434" s="23">
        <v>1.9109701048317289</v>
      </c>
      <c r="B434" s="24">
        <v>0.26922781796696432</v>
      </c>
    </row>
    <row r="435" spans="1:2" x14ac:dyDescent="0.2">
      <c r="A435" s="23">
        <v>2.3457162489632148</v>
      </c>
      <c r="B435" s="24">
        <v>0.42331022359633808</v>
      </c>
    </row>
    <row r="436" spans="1:2" x14ac:dyDescent="0.2">
      <c r="A436" s="23">
        <v>4.6648256090560549</v>
      </c>
      <c r="B436" s="24">
        <v>0.73982743629236425</v>
      </c>
    </row>
    <row r="437" spans="1:2" x14ac:dyDescent="0.2">
      <c r="A437" s="23">
        <v>4.8326673250918084</v>
      </c>
      <c r="B437" s="24">
        <v>0.75987554731145346</v>
      </c>
    </row>
    <row r="438" spans="1:2" x14ac:dyDescent="0.2">
      <c r="A438" s="23">
        <v>2.4857190015908621</v>
      </c>
      <c r="B438" s="24">
        <v>0.44837024185169039</v>
      </c>
    </row>
    <row r="439" spans="1:2" x14ac:dyDescent="0.2">
      <c r="A439" s="23">
        <v>1.9211404929648359</v>
      </c>
      <c r="B439" s="24">
        <v>0.2966749771973709</v>
      </c>
    </row>
    <row r="440" spans="1:2" x14ac:dyDescent="0.2">
      <c r="A440" s="23">
        <v>2.2388703338127449</v>
      </c>
      <c r="B440" s="24">
        <v>0.14679604782148895</v>
      </c>
    </row>
    <row r="441" spans="1:2" x14ac:dyDescent="0.2">
      <c r="A441" s="23">
        <v>2.8440786708653749</v>
      </c>
      <c r="B441" s="24">
        <v>0.50485925256147701</v>
      </c>
    </row>
    <row r="442" spans="1:2" x14ac:dyDescent="0.2">
      <c r="A442" s="23">
        <v>2.1754294180622678</v>
      </c>
      <c r="B442" s="24">
        <v>0.16066441165218934</v>
      </c>
    </row>
    <row r="443" spans="1:2" x14ac:dyDescent="0.2">
      <c r="A443" s="23">
        <v>1.9264497897301276</v>
      </c>
      <c r="B443" s="24">
        <v>0.30162232729269384</v>
      </c>
    </row>
    <row r="444" spans="1:2" x14ac:dyDescent="0.2">
      <c r="A444" s="23">
        <v>2.4453705164098261</v>
      </c>
      <c r="B444" s="24">
        <v>0.44139004065500242</v>
      </c>
    </row>
    <row r="445" spans="1:2" x14ac:dyDescent="0.2">
      <c r="A445" s="23">
        <v>2.5785472984376474</v>
      </c>
      <c r="B445" s="24">
        <v>0.46384369474562276</v>
      </c>
    </row>
    <row r="446" spans="1:2" x14ac:dyDescent="0.2">
      <c r="A446" s="23">
        <v>1.9785231850186074</v>
      </c>
      <c r="B446" s="24">
        <v>0.33075754425542497</v>
      </c>
    </row>
    <row r="447" spans="1:2" x14ac:dyDescent="0.2">
      <c r="A447" s="23">
        <v>3.8160348188969131</v>
      </c>
      <c r="B447" s="24">
        <v>0.63569388472044153</v>
      </c>
    </row>
    <row r="448" spans="1:2" x14ac:dyDescent="0.2">
      <c r="A448" s="23">
        <v>2.6798142337489916</v>
      </c>
      <c r="B448" s="24">
        <v>0.47996825839282253</v>
      </c>
    </row>
    <row r="449" spans="1:2" x14ac:dyDescent="0.2">
      <c r="A449" s="23">
        <v>2.7524035297783707</v>
      </c>
      <c r="B449" s="24">
        <v>0.49113675829953252</v>
      </c>
    </row>
    <row r="450" spans="1:2" x14ac:dyDescent="0.2">
      <c r="A450" s="23">
        <v>1.9214777679848982</v>
      </c>
      <c r="B450" s="24">
        <v>0.29702110982803126</v>
      </c>
    </row>
    <row r="451" spans="1:2" x14ac:dyDescent="0.2">
      <c r="A451" s="23">
        <v>3.4391609031967629</v>
      </c>
      <c r="B451" s="24">
        <v>0.5871805315649824</v>
      </c>
    </row>
    <row r="452" spans="1:2" x14ac:dyDescent="0.2">
      <c r="A452" s="23">
        <v>2.9656121154228008</v>
      </c>
      <c r="B452" s="24">
        <v>0.5225059765319553</v>
      </c>
    </row>
    <row r="453" spans="1:2" x14ac:dyDescent="0.2">
      <c r="A453" s="23">
        <v>4.1813937448552272</v>
      </c>
      <c r="B453" s="24">
        <v>0.68119013013739049</v>
      </c>
    </row>
    <row r="454" spans="1:2" x14ac:dyDescent="0.2">
      <c r="A454" s="23">
        <v>4.5002570768198549</v>
      </c>
      <c r="B454" s="24">
        <v>0.72002852208159496</v>
      </c>
    </row>
    <row r="455" spans="1:2" x14ac:dyDescent="0.2">
      <c r="A455" s="23">
        <v>2.5267009902339193</v>
      </c>
      <c r="B455" s="24">
        <v>0.45529449736725602</v>
      </c>
    </row>
    <row r="456" spans="1:2" x14ac:dyDescent="0.2">
      <c r="A456" s="23">
        <v>1.9470602793460507</v>
      </c>
      <c r="B456" s="24">
        <v>0.23332369078798559</v>
      </c>
    </row>
    <row r="457" spans="1:2" x14ac:dyDescent="0.2">
      <c r="A457" s="23">
        <v>2.6219126404476922</v>
      </c>
      <c r="B457" s="24">
        <v>0.47083434822848241</v>
      </c>
    </row>
    <row r="458" spans="1:2" x14ac:dyDescent="0.2">
      <c r="A458" s="23">
        <v>4.4656656321959156</v>
      </c>
      <c r="B458" s="24">
        <v>0.71584725602281818</v>
      </c>
    </row>
    <row r="459" spans="1:2" x14ac:dyDescent="0.2">
      <c r="A459" s="23">
        <v>2.5321430967067529</v>
      </c>
      <c r="B459" s="24">
        <v>0.45620245714515273</v>
      </c>
    </row>
    <row r="460" spans="1:2" x14ac:dyDescent="0.2">
      <c r="A460" s="23">
        <v>1.971791632546166</v>
      </c>
      <c r="B460" s="24">
        <v>0.22106460427836086</v>
      </c>
    </row>
    <row r="461" spans="1:2" x14ac:dyDescent="0.2">
      <c r="A461" s="23">
        <v>2.4599807342984481</v>
      </c>
      <c r="B461" s="24">
        <v>0.44393751521111563</v>
      </c>
    </row>
    <row r="462" spans="1:2" x14ac:dyDescent="0.2">
      <c r="A462" s="23">
        <v>1.9252915153017902</v>
      </c>
      <c r="B462" s="24">
        <v>0.30062182845487995</v>
      </c>
    </row>
    <row r="463" spans="1:2" x14ac:dyDescent="0.2">
      <c r="A463" s="23">
        <v>3.6179583916900917</v>
      </c>
      <c r="B463" s="24">
        <v>0.61043956171151059</v>
      </c>
    </row>
    <row r="464" spans="1:2" x14ac:dyDescent="0.2">
      <c r="A464" s="23">
        <v>2.551346505862143</v>
      </c>
      <c r="B464" s="24">
        <v>0.45938603238106879</v>
      </c>
    </row>
    <row r="465" spans="1:2" x14ac:dyDescent="0.2">
      <c r="A465" s="23">
        <v>1.9801528874972165</v>
      </c>
      <c r="B465" s="24">
        <v>0.21748479412309352</v>
      </c>
    </row>
    <row r="466" spans="1:2" x14ac:dyDescent="0.2">
      <c r="A466" s="23">
        <v>2.0407717258437765</v>
      </c>
      <c r="B466" s="24">
        <v>0.35295347769095747</v>
      </c>
    </row>
    <row r="467" spans="1:2" x14ac:dyDescent="0.2">
      <c r="A467" s="23">
        <v>3.2186381377159843</v>
      </c>
      <c r="B467" s="24">
        <v>0.55772297211308319</v>
      </c>
    </row>
    <row r="468" spans="1:2" x14ac:dyDescent="0.2">
      <c r="A468" s="23">
        <v>3.1384609232289247</v>
      </c>
      <c r="B468" s="24">
        <v>0.54675239010778753</v>
      </c>
    </row>
    <row r="469" spans="1:2" x14ac:dyDescent="0.2">
      <c r="A469" s="23">
        <v>2.9821210701310688</v>
      </c>
      <c r="B469" s="24">
        <v>0.52486156256184469</v>
      </c>
    </row>
    <row r="470" spans="1:2" x14ac:dyDescent="0.2">
      <c r="A470" s="23">
        <v>4.2081820466960664</v>
      </c>
      <c r="B470" s="24">
        <v>0.68448047895631081</v>
      </c>
    </row>
    <row r="471" spans="1:2" x14ac:dyDescent="0.2">
      <c r="A471" s="23">
        <v>3.3530488463777393</v>
      </c>
      <c r="B471" s="24">
        <v>0.57579070107126529</v>
      </c>
    </row>
    <row r="472" spans="1:2" x14ac:dyDescent="0.2">
      <c r="A472" s="23">
        <v>2.2236989812401107</v>
      </c>
      <c r="B472" s="24">
        <v>0.39891629594853117</v>
      </c>
    </row>
    <row r="473" spans="1:2" x14ac:dyDescent="0.2">
      <c r="A473" s="23">
        <v>2.3383990972424913</v>
      </c>
      <c r="B473" s="24">
        <v>0.42192709682329976</v>
      </c>
    </row>
    <row r="474" spans="1:2" x14ac:dyDescent="0.2">
      <c r="A474" s="23">
        <v>4.6398899225767192</v>
      </c>
      <c r="B474" s="24">
        <v>0.73683694803091659</v>
      </c>
    </row>
    <row r="475" spans="1:2" x14ac:dyDescent="0.2">
      <c r="A475" s="23">
        <v>2.3867389627500484</v>
      </c>
      <c r="B475" s="24">
        <v>0.43091396562838774</v>
      </c>
    </row>
    <row r="476" spans="1:2" x14ac:dyDescent="0.2">
      <c r="A476" s="23">
        <v>1.9299258794523177</v>
      </c>
      <c r="B476" s="24">
        <v>0.24449515934379881</v>
      </c>
    </row>
    <row r="477" spans="1:2" x14ac:dyDescent="0.2">
      <c r="A477" s="23">
        <v>3.4531633939048971</v>
      </c>
      <c r="B477" s="24">
        <v>0.58902026867289403</v>
      </c>
    </row>
    <row r="478" spans="1:2" x14ac:dyDescent="0.2">
      <c r="A478" s="23">
        <v>2.1229499444386217</v>
      </c>
      <c r="B478" s="24">
        <v>0.17320724636314261</v>
      </c>
    </row>
    <row r="479" spans="1:2" x14ac:dyDescent="0.2">
      <c r="A479" s="23">
        <v>3.2635536322251819</v>
      </c>
      <c r="B479" s="24">
        <v>0.56380304995716779</v>
      </c>
    </row>
    <row r="480" spans="1:2" x14ac:dyDescent="0.2">
      <c r="A480" s="23">
        <v>2.4649705677928608</v>
      </c>
      <c r="B480" s="24">
        <v>0.44480226028180447</v>
      </c>
    </row>
    <row r="481" spans="1:2" x14ac:dyDescent="0.2">
      <c r="A481" s="23">
        <v>4.7312208694549156</v>
      </c>
      <c r="B481" s="24">
        <v>0.74777455568000539</v>
      </c>
    </row>
    <row r="482" spans="1:2" x14ac:dyDescent="0.2">
      <c r="A482" s="23">
        <v>3.4451377393076101</v>
      </c>
      <c r="B482" s="24">
        <v>0.58796621248854453</v>
      </c>
    </row>
    <row r="483" spans="1:2" x14ac:dyDescent="0.2">
      <c r="A483" s="23">
        <v>1.9873865561294894</v>
      </c>
      <c r="B483" s="24">
        <v>0.33437453633781627</v>
      </c>
    </row>
    <row r="484" spans="1:2" x14ac:dyDescent="0.2">
      <c r="A484" s="23">
        <v>2.7332243789649437</v>
      </c>
      <c r="B484" s="24">
        <v>0.4882139501426217</v>
      </c>
    </row>
    <row r="485" spans="1:2" x14ac:dyDescent="0.2">
      <c r="A485" s="23">
        <v>1.9122648141788918</v>
      </c>
      <c r="B485" s="24">
        <v>0.2651566749668981</v>
      </c>
    </row>
    <row r="486" spans="1:2" x14ac:dyDescent="0.2">
      <c r="A486" s="23">
        <v>1.9617482972531586</v>
      </c>
      <c r="B486" s="24">
        <v>0.32323518311353239</v>
      </c>
    </row>
    <row r="487" spans="1:2" x14ac:dyDescent="0.2">
      <c r="A487" s="23">
        <v>2.8002169207354215</v>
      </c>
      <c r="B487" s="24">
        <v>0.49834270032198652</v>
      </c>
    </row>
    <row r="488" spans="1:2" x14ac:dyDescent="0.2">
      <c r="A488" s="23">
        <v>4.5592101216402225</v>
      </c>
      <c r="B488" s="24">
        <v>0.72713835249548686</v>
      </c>
    </row>
    <row r="489" spans="1:2" x14ac:dyDescent="0.2">
      <c r="A489" s="23">
        <v>5.2673372535541674</v>
      </c>
      <c r="B489" s="24">
        <v>0.8112321602047976</v>
      </c>
    </row>
    <row r="490" spans="1:2" x14ac:dyDescent="0.2">
      <c r="A490" s="23">
        <v>2.5088147908589096</v>
      </c>
      <c r="B490" s="24">
        <v>0.45229174130564126</v>
      </c>
    </row>
    <row r="491" spans="1:2" x14ac:dyDescent="0.2">
      <c r="A491" s="23">
        <v>3.0106980451220249</v>
      </c>
      <c r="B491" s="24">
        <v>0.52891780903421426</v>
      </c>
    </row>
    <row r="492" spans="1:2" x14ac:dyDescent="0.2">
      <c r="A492" s="23">
        <v>4.4387678684885019</v>
      </c>
      <c r="B492" s="24">
        <v>0.71259096116231246</v>
      </c>
    </row>
    <row r="493" spans="1:2" x14ac:dyDescent="0.2">
      <c r="A493" s="23">
        <v>2.8427244265536693</v>
      </c>
      <c r="B493" s="24">
        <v>0.50465931691043231</v>
      </c>
    </row>
    <row r="494" spans="1:2" x14ac:dyDescent="0.2">
      <c r="A494" s="23">
        <v>1.9322534935498861</v>
      </c>
      <c r="B494" s="24">
        <v>0.30617112399972479</v>
      </c>
    </row>
    <row r="495" spans="1:2" x14ac:dyDescent="0.2">
      <c r="A495" s="23">
        <v>2.7905213644440119</v>
      </c>
      <c r="B495" s="24">
        <v>0.49689042166213543</v>
      </c>
    </row>
    <row r="496" spans="1:2" x14ac:dyDescent="0.2">
      <c r="A496" s="23">
        <v>1.9665028292289439</v>
      </c>
      <c r="B496" s="24">
        <v>0.22345007060454095</v>
      </c>
    </row>
    <row r="497" spans="1:2" x14ac:dyDescent="0.2">
      <c r="A497" s="23">
        <v>2.1802356551273934</v>
      </c>
      <c r="B497" s="24">
        <v>0.15956980397504533</v>
      </c>
    </row>
    <row r="498" spans="1:2" x14ac:dyDescent="0.2">
      <c r="A498" s="23">
        <v>3.9425626434804775</v>
      </c>
      <c r="B498" s="24">
        <v>0.65159194304740931</v>
      </c>
    </row>
    <row r="499" spans="1:2" x14ac:dyDescent="0.2">
      <c r="A499" s="23">
        <v>3.5182620319248565</v>
      </c>
      <c r="B499" s="24">
        <v>0.59753107213264922</v>
      </c>
    </row>
    <row r="500" spans="1:2" x14ac:dyDescent="0.2">
      <c r="A500" s="23">
        <v>3.3974522107573994</v>
      </c>
      <c r="B500" s="24">
        <v>0.58168051521460529</v>
      </c>
    </row>
    <row r="501" spans="1:2" x14ac:dyDescent="0.2">
      <c r="A501" s="23">
        <v>1.9682434599291632</v>
      </c>
      <c r="B501" s="24">
        <v>0.32626982506621727</v>
      </c>
    </row>
    <row r="502" spans="1:2" x14ac:dyDescent="0.2">
      <c r="A502" s="23">
        <v>2.886306040527745</v>
      </c>
      <c r="B502" s="24">
        <v>0.51105528355040031</v>
      </c>
    </row>
    <row r="503" spans="1:2" x14ac:dyDescent="0.2">
      <c r="A503" s="23">
        <v>2.5058447006304752</v>
      </c>
      <c r="B503" s="24">
        <v>0.45179028496296558</v>
      </c>
    </row>
    <row r="504" spans="1:2" x14ac:dyDescent="0.2">
      <c r="A504" s="23">
        <v>1.9933980859390652</v>
      </c>
      <c r="B504" s="24">
        <v>0.33671682667538927</v>
      </c>
    </row>
    <row r="505" spans="1:2" x14ac:dyDescent="0.2">
      <c r="A505" s="23">
        <v>3.480390507907146</v>
      </c>
      <c r="B505" s="24">
        <v>0.5925881824056719</v>
      </c>
    </row>
    <row r="506" spans="1:2" x14ac:dyDescent="0.2">
      <c r="A506" s="23">
        <v>2.1629870031050258</v>
      </c>
      <c r="B506" s="24">
        <v>0.38538664425865582</v>
      </c>
    </row>
    <row r="507" spans="1:2" x14ac:dyDescent="0.2">
      <c r="A507" s="23">
        <v>2.2644967923357822</v>
      </c>
      <c r="B507" s="24">
        <v>0.40742217272890213</v>
      </c>
    </row>
    <row r="508" spans="1:2" x14ac:dyDescent="0.2">
      <c r="A508" s="23">
        <v>3.4162748588048064</v>
      </c>
      <c r="B508" s="24">
        <v>0.58416638601325399</v>
      </c>
    </row>
    <row r="509" spans="1:2" x14ac:dyDescent="0.2">
      <c r="A509" s="23">
        <v>1.9116743922416966</v>
      </c>
      <c r="B509" s="24">
        <v>0.28218090325746015</v>
      </c>
    </row>
    <row r="510" spans="1:2" x14ac:dyDescent="0.2">
      <c r="A510" s="23">
        <v>2.097924077207955</v>
      </c>
      <c r="B510" s="24">
        <v>0.36927397118538186</v>
      </c>
    </row>
    <row r="511" spans="1:2" x14ac:dyDescent="0.2">
      <c r="A511" s="23">
        <v>2.8489460633187509</v>
      </c>
      <c r="B511" s="24">
        <v>0.5055772118928108</v>
      </c>
    </row>
    <row r="512" spans="1:2" x14ac:dyDescent="0.2">
      <c r="A512" s="23">
        <v>2.4799674367949214</v>
      </c>
      <c r="B512" s="24">
        <v>0.44738557337803425</v>
      </c>
    </row>
    <row r="513" spans="1:2" x14ac:dyDescent="0.2">
      <c r="A513" s="23">
        <v>1.9502557282071598</v>
      </c>
      <c r="B513" s="24">
        <v>0.31737149826432615</v>
      </c>
    </row>
    <row r="514" spans="1:2" x14ac:dyDescent="0.2">
      <c r="A514" s="23">
        <v>2.2551751405935727</v>
      </c>
      <c r="B514" s="24">
        <v>0.40551399308944758</v>
      </c>
    </row>
    <row r="515" spans="1:2" x14ac:dyDescent="0.2">
      <c r="A515" s="23">
        <v>4.7088400482468629</v>
      </c>
      <c r="B515" s="24">
        <v>0.74509818327299127</v>
      </c>
    </row>
    <row r="516" spans="1:2" x14ac:dyDescent="0.2">
      <c r="A516" s="23">
        <v>4.4916262652595282</v>
      </c>
      <c r="B516" s="24">
        <v>0.71898593515202835</v>
      </c>
    </row>
    <row r="517" spans="1:2" x14ac:dyDescent="0.2">
      <c r="A517" s="23">
        <v>1.9891926369045352</v>
      </c>
      <c r="B517" s="24">
        <v>0.3350870064987867</v>
      </c>
    </row>
    <row r="518" spans="1:2" x14ac:dyDescent="0.2">
      <c r="A518" s="23">
        <v>2.3122541418182916</v>
      </c>
      <c r="B518" s="24">
        <v>0.41691205624520034</v>
      </c>
    </row>
    <row r="519" spans="1:2" x14ac:dyDescent="0.2">
      <c r="A519" s="23">
        <v>3.2984941458248964</v>
      </c>
      <c r="B519" s="24">
        <v>0.5685026385874915</v>
      </c>
    </row>
    <row r="520" spans="1:2" x14ac:dyDescent="0.2">
      <c r="A520" s="23">
        <v>2.9459689334552239</v>
      </c>
      <c r="B520" s="24">
        <v>0.51969101781499627</v>
      </c>
    </row>
    <row r="521" spans="1:2" x14ac:dyDescent="0.2">
      <c r="A521" s="23">
        <v>2.1219075321065901</v>
      </c>
      <c r="B521" s="24">
        <v>0.37545452325077766</v>
      </c>
    </row>
    <row r="522" spans="1:2" x14ac:dyDescent="0.2">
      <c r="A522" s="23">
        <v>2.9780656947511122</v>
      </c>
      <c r="B522" s="24">
        <v>0.52428376911769503</v>
      </c>
    </row>
    <row r="523" spans="1:2" x14ac:dyDescent="0.2">
      <c r="A523" s="23">
        <v>2.8735507923148629</v>
      </c>
      <c r="B523" s="24">
        <v>0.50919136836478196</v>
      </c>
    </row>
    <row r="524" spans="1:2" x14ac:dyDescent="0.2">
      <c r="A524" s="23">
        <v>2.5363170461899633</v>
      </c>
      <c r="B524" s="24">
        <v>0.45689709129582912</v>
      </c>
    </row>
    <row r="525" spans="1:2" x14ac:dyDescent="0.2">
      <c r="A525" s="23">
        <v>2.1737914248835959</v>
      </c>
      <c r="B525" s="24">
        <v>0.38788406829195621</v>
      </c>
    </row>
    <row r="526" spans="1:2" x14ac:dyDescent="0.2">
      <c r="A526" s="23">
        <v>1.9928463729917565</v>
      </c>
      <c r="B526" s="24">
        <v>0.33650525625461863</v>
      </c>
    </row>
    <row r="527" spans="1:2" x14ac:dyDescent="0.2">
      <c r="A527" s="23">
        <v>1.9539205859482349</v>
      </c>
      <c r="B527" s="24">
        <v>0.22960253658401583</v>
      </c>
    </row>
    <row r="528" spans="1:2" x14ac:dyDescent="0.2">
      <c r="A528" s="23">
        <v>4.3778856298414119</v>
      </c>
      <c r="B528" s="24">
        <v>0.70520370144782718</v>
      </c>
    </row>
    <row r="529" spans="1:2" x14ac:dyDescent="0.2">
      <c r="A529" s="23">
        <v>2.8256515561406697</v>
      </c>
      <c r="B529" s="24">
        <v>0.50213194332423006</v>
      </c>
    </row>
    <row r="530" spans="1:2" x14ac:dyDescent="0.2">
      <c r="A530" s="23">
        <v>1.9259086866637909</v>
      </c>
      <c r="B530" s="24">
        <v>0.30115952325446016</v>
      </c>
    </row>
    <row r="531" spans="1:2" x14ac:dyDescent="0.2">
      <c r="A531" s="23">
        <v>2.5500215933839292</v>
      </c>
      <c r="B531" s="24">
        <v>0.45916738160198789</v>
      </c>
    </row>
    <row r="532" spans="1:2" x14ac:dyDescent="0.2">
      <c r="A532" s="23">
        <v>2.1815392114860672</v>
      </c>
      <c r="B532" s="24">
        <v>0.38964908338622428</v>
      </c>
    </row>
    <row r="533" spans="1:2" x14ac:dyDescent="0.2">
      <c r="A533" s="23">
        <v>2.6704683725417122</v>
      </c>
      <c r="B533" s="24">
        <v>0.47850833475502325</v>
      </c>
    </row>
    <row r="534" spans="1:2" x14ac:dyDescent="0.2">
      <c r="A534" s="23">
        <v>2.1572792377049357</v>
      </c>
      <c r="B534" s="24">
        <v>0.38404947192835442</v>
      </c>
    </row>
    <row r="535" spans="1:2" x14ac:dyDescent="0.2">
      <c r="A535" s="23">
        <v>3.0387219230469364</v>
      </c>
      <c r="B535" s="24">
        <v>0.53287041448813788</v>
      </c>
    </row>
    <row r="536" spans="1:2" x14ac:dyDescent="0.2">
      <c r="A536" s="23">
        <v>2.8194176124377495</v>
      </c>
      <c r="B536" s="24">
        <v>0.50120591469960696</v>
      </c>
    </row>
    <row r="537" spans="1:2" x14ac:dyDescent="0.2">
      <c r="A537" s="23">
        <v>4.5492185986605014</v>
      </c>
      <c r="B537" s="24">
        <v>0.72593476069030094</v>
      </c>
    </row>
    <row r="538" spans="1:2" x14ac:dyDescent="0.2">
      <c r="A538" s="23">
        <v>2.8538782665059559</v>
      </c>
      <c r="B538" s="24">
        <v>0.50630370954954673</v>
      </c>
    </row>
    <row r="539" spans="1:2" x14ac:dyDescent="0.2">
      <c r="A539" s="23">
        <v>2.7875720823813781</v>
      </c>
      <c r="B539" s="24">
        <v>0.49644777418445507</v>
      </c>
    </row>
    <row r="540" spans="1:2" x14ac:dyDescent="0.2">
      <c r="A540" s="23">
        <v>2.6844250855006315</v>
      </c>
      <c r="B540" s="24">
        <v>0.48068658124094116</v>
      </c>
    </row>
    <row r="541" spans="1:2" x14ac:dyDescent="0.2">
      <c r="A541" s="23">
        <v>2.2515030204686939</v>
      </c>
      <c r="B541" s="24">
        <v>0.40475681222479448</v>
      </c>
    </row>
    <row r="542" spans="1:2" x14ac:dyDescent="0.2">
      <c r="A542" s="23">
        <v>4.0978667876367831</v>
      </c>
      <c r="B542" s="24">
        <v>0.67089433295539513</v>
      </c>
    </row>
    <row r="543" spans="1:2" x14ac:dyDescent="0.2">
      <c r="A543" s="23">
        <v>2.2811680018224152</v>
      </c>
      <c r="B543" s="24">
        <v>0.41078725047178671</v>
      </c>
    </row>
    <row r="544" spans="1:2" x14ac:dyDescent="0.2">
      <c r="A544" s="23">
        <v>2.7184323072830368</v>
      </c>
      <c r="B544" s="24">
        <v>0.48594632643126584</v>
      </c>
    </row>
    <row r="545" spans="1:2" x14ac:dyDescent="0.2">
      <c r="A545" s="23">
        <v>1.9790281612265062</v>
      </c>
      <c r="B545" s="24">
        <v>0.33096938970332951</v>
      </c>
    </row>
    <row r="546" spans="1:2" x14ac:dyDescent="0.2">
      <c r="A546" s="23">
        <v>2.0937497771667637</v>
      </c>
      <c r="B546" s="24">
        <v>0.36816410564543794</v>
      </c>
    </row>
    <row r="547" spans="1:2" x14ac:dyDescent="0.2">
      <c r="A547" s="23">
        <v>2.167094024265384</v>
      </c>
      <c r="B547" s="24">
        <v>0.38634107354078134</v>
      </c>
    </row>
    <row r="548" spans="1:2" x14ac:dyDescent="0.2">
      <c r="A548" s="23">
        <v>4.2225316724638917</v>
      </c>
      <c r="B548" s="24">
        <v>0.68624076940349055</v>
      </c>
    </row>
    <row r="549" spans="1:2" x14ac:dyDescent="0.2">
      <c r="A549" s="23">
        <v>3.1760756337813834</v>
      </c>
      <c r="B549" s="24">
        <v>0.55191869706336505</v>
      </c>
    </row>
    <row r="550" spans="1:2" x14ac:dyDescent="0.2">
      <c r="A550" s="23">
        <v>2.7530045678179405</v>
      </c>
      <c r="B550" s="24">
        <v>0.49122804457567693</v>
      </c>
    </row>
    <row r="551" spans="1:2" x14ac:dyDescent="0.2">
      <c r="A551" s="23">
        <v>2.4858431846765545</v>
      </c>
      <c r="B551" s="24">
        <v>0.44839146561131527</v>
      </c>
    </row>
    <row r="552" spans="1:2" x14ac:dyDescent="0.2">
      <c r="A552" s="23">
        <v>2.1229419323926297</v>
      </c>
      <c r="B552" s="24">
        <v>0.17320925507200077</v>
      </c>
    </row>
    <row r="553" spans="1:2" x14ac:dyDescent="0.2">
      <c r="A553" s="23">
        <v>2.4846570639937817</v>
      </c>
      <c r="B553" s="24">
        <v>0.44818868673398066</v>
      </c>
    </row>
    <row r="554" spans="1:2" x14ac:dyDescent="0.2">
      <c r="A554" s="23">
        <v>2.1296216191632582</v>
      </c>
      <c r="B554" s="24">
        <v>0.17154560288418313</v>
      </c>
    </row>
    <row r="555" spans="1:2" x14ac:dyDescent="0.2">
      <c r="A555" s="23">
        <v>4.1871554006386775</v>
      </c>
      <c r="B555" s="24">
        <v>0.68189828698119237</v>
      </c>
    </row>
    <row r="556" spans="1:2" x14ac:dyDescent="0.2">
      <c r="A556" s="23">
        <v>3.2191015751830165</v>
      </c>
      <c r="B556" s="24">
        <v>0.55778593773586149</v>
      </c>
    </row>
    <row r="557" spans="1:2" x14ac:dyDescent="0.2">
      <c r="A557" s="23">
        <v>2.7473800445153622</v>
      </c>
      <c r="B557" s="24">
        <v>0.49037305923109514</v>
      </c>
    </row>
    <row r="558" spans="1:2" x14ac:dyDescent="0.2">
      <c r="A558" s="23">
        <v>1.9180970828609816</v>
      </c>
      <c r="B558" s="24">
        <v>0.25565443897966555</v>
      </c>
    </row>
    <row r="559" spans="1:2" x14ac:dyDescent="0.2">
      <c r="A559" s="23">
        <v>2.3038109311556263</v>
      </c>
      <c r="B559" s="24">
        <v>0.41526675383236616</v>
      </c>
    </row>
    <row r="560" spans="1:2" x14ac:dyDescent="0.2">
      <c r="A560" s="23">
        <v>2.0180893052671349</v>
      </c>
      <c r="B560" s="24">
        <v>0.34559596942184417</v>
      </c>
    </row>
    <row r="561" spans="1:2" x14ac:dyDescent="0.2">
      <c r="A561" s="23">
        <v>3.0571887176263388</v>
      </c>
      <c r="B561" s="24">
        <v>0.53546199699904939</v>
      </c>
    </row>
    <row r="562" spans="1:2" x14ac:dyDescent="0.2">
      <c r="A562" s="23">
        <v>1.9386839400534981</v>
      </c>
      <c r="B562" s="24">
        <v>0.31056065622450657</v>
      </c>
    </row>
    <row r="563" spans="1:2" x14ac:dyDescent="0.2">
      <c r="A563" s="23">
        <v>1.9241922800855318</v>
      </c>
      <c r="B563" s="24">
        <v>0.29963616812698846</v>
      </c>
    </row>
    <row r="564" spans="1:2" x14ac:dyDescent="0.2">
      <c r="A564" s="23">
        <v>2.0829175676240723</v>
      </c>
      <c r="B564" s="24">
        <v>0.36523145388098466</v>
      </c>
    </row>
    <row r="565" spans="1:2" x14ac:dyDescent="0.2">
      <c r="A565" s="23">
        <v>3.0117255277797104</v>
      </c>
      <c r="B565" s="24">
        <v>0.52906316180235524</v>
      </c>
    </row>
    <row r="566" spans="1:2" x14ac:dyDescent="0.2">
      <c r="A566" s="23">
        <v>2.2097364714700367</v>
      </c>
      <c r="B566" s="24">
        <v>0.39590612277372683</v>
      </c>
    </row>
    <row r="567" spans="1:2" x14ac:dyDescent="0.2">
      <c r="A567" s="23">
        <v>2.8250764792139043</v>
      </c>
      <c r="B567" s="24">
        <v>0.5020465901050063</v>
      </c>
    </row>
    <row r="568" spans="1:2" x14ac:dyDescent="0.2">
      <c r="A568" s="23">
        <v>2.1013224975295186</v>
      </c>
      <c r="B568" s="24">
        <v>0.1787537367382869</v>
      </c>
    </row>
    <row r="569" spans="1:2" x14ac:dyDescent="0.2">
      <c r="A569" s="23">
        <v>1.9724860409251119</v>
      </c>
      <c r="B569" s="24">
        <v>0.3281645813888408</v>
      </c>
    </row>
    <row r="570" spans="1:2" x14ac:dyDescent="0.2">
      <c r="A570" s="23">
        <v>2.355194903274934</v>
      </c>
      <c r="B570" s="24">
        <v>0.4250893664883944</v>
      </c>
    </row>
    <row r="571" spans="1:2" x14ac:dyDescent="0.2">
      <c r="A571" s="23">
        <v>2.0747671731399948</v>
      </c>
      <c r="B571" s="24">
        <v>0.36297126687169529</v>
      </c>
    </row>
    <row r="572" spans="1:2" x14ac:dyDescent="0.2">
      <c r="A572" s="23">
        <v>2.1187047554626441</v>
      </c>
      <c r="B572" s="24">
        <v>0.17427613148363044</v>
      </c>
    </row>
    <row r="573" spans="1:2" x14ac:dyDescent="0.2">
      <c r="A573" s="23">
        <v>4.3569773277730777</v>
      </c>
      <c r="B573" s="24">
        <v>0.70266123240792888</v>
      </c>
    </row>
    <row r="574" spans="1:2" x14ac:dyDescent="0.2">
      <c r="A574" s="23">
        <v>5.1406956159432351</v>
      </c>
      <c r="B574" s="24">
        <v>0.79634417309506045</v>
      </c>
    </row>
    <row r="575" spans="1:2" x14ac:dyDescent="0.2">
      <c r="A575" s="23">
        <v>1.9225825756695234</v>
      </c>
      <c r="B575" s="24">
        <v>0.25080348833241378</v>
      </c>
    </row>
    <row r="576" spans="1:2" x14ac:dyDescent="0.2">
      <c r="A576" s="23">
        <v>1.9229453975882274</v>
      </c>
      <c r="B576" s="24">
        <v>0.29846990808411644</v>
      </c>
    </row>
    <row r="577" spans="1:2" x14ac:dyDescent="0.2">
      <c r="A577" s="23">
        <v>2.6021263619771724</v>
      </c>
      <c r="B577" s="24">
        <v>0.46766166645371293</v>
      </c>
    </row>
    <row r="578" spans="1:2" x14ac:dyDescent="0.2">
      <c r="A578" s="23">
        <v>2.4685997386401493</v>
      </c>
      <c r="B578" s="24">
        <v>0.44542954708777704</v>
      </c>
    </row>
    <row r="579" spans="1:2" x14ac:dyDescent="0.2">
      <c r="A579" s="23">
        <v>4.5756805250588739</v>
      </c>
      <c r="B579" s="24">
        <v>0.72912117482686412</v>
      </c>
    </row>
    <row r="580" spans="1:2" x14ac:dyDescent="0.2">
      <c r="A580" s="23">
        <v>3.7486120584534586</v>
      </c>
      <c r="B580" s="24">
        <v>0.62715130649080186</v>
      </c>
    </row>
    <row r="581" spans="1:2" x14ac:dyDescent="0.2">
      <c r="A581" s="23">
        <v>4.8016725329526162</v>
      </c>
      <c r="B581" s="24">
        <v>0.75618349609476088</v>
      </c>
    </row>
    <row r="582" spans="1:2" x14ac:dyDescent="0.2">
      <c r="A582" s="23">
        <v>3.3840601924048128</v>
      </c>
      <c r="B582" s="24">
        <v>0.57990798410152944</v>
      </c>
    </row>
    <row r="583" spans="1:2" x14ac:dyDescent="0.2">
      <c r="A583" s="23">
        <v>2.0151320852195167</v>
      </c>
      <c r="B583" s="24">
        <v>0.34458633476714634</v>
      </c>
    </row>
    <row r="584" spans="1:2" x14ac:dyDescent="0.2">
      <c r="A584" s="23">
        <v>2.0311142274009213</v>
      </c>
      <c r="B584" s="24">
        <v>0.34989866265979852</v>
      </c>
    </row>
    <row r="585" spans="1:2" x14ac:dyDescent="0.2">
      <c r="A585" s="23">
        <v>2.1388882866417749</v>
      </c>
      <c r="B585" s="24">
        <v>0.16927279977011239</v>
      </c>
    </row>
    <row r="586" spans="1:2" x14ac:dyDescent="0.2">
      <c r="A586" s="23">
        <v>2.5222596192098665</v>
      </c>
      <c r="B586" s="24">
        <v>0.45455156498208665</v>
      </c>
    </row>
    <row r="587" spans="1:2" x14ac:dyDescent="0.2">
      <c r="A587" s="23">
        <v>3.7913166336956152</v>
      </c>
      <c r="B587" s="24">
        <v>0.63256808513607488</v>
      </c>
    </row>
    <row r="588" spans="1:2" x14ac:dyDescent="0.2">
      <c r="A588" s="23">
        <v>4.0672633947491104</v>
      </c>
      <c r="B588" s="24">
        <v>0.66710766835637281</v>
      </c>
    </row>
    <row r="589" spans="1:2" x14ac:dyDescent="0.2">
      <c r="A589" s="23">
        <v>2.2621301427576022</v>
      </c>
      <c r="B589" s="24">
        <v>0.40693957041207557</v>
      </c>
    </row>
    <row r="590" spans="1:2" x14ac:dyDescent="0.2">
      <c r="A590" s="23">
        <v>2.1649467045405739</v>
      </c>
      <c r="B590" s="24">
        <v>0.38584285292464665</v>
      </c>
    </row>
    <row r="591" spans="1:2" x14ac:dyDescent="0.2">
      <c r="A591" s="23">
        <v>1.9115100724259697</v>
      </c>
      <c r="B591" s="24">
        <v>0.28167793422176324</v>
      </c>
    </row>
    <row r="592" spans="1:2" x14ac:dyDescent="0.2">
      <c r="A592" s="23">
        <v>3.1099845583404675</v>
      </c>
      <c r="B592" s="24">
        <v>0.54281699845680176</v>
      </c>
    </row>
    <row r="593" spans="1:2" x14ac:dyDescent="0.2">
      <c r="A593" s="23">
        <v>3.8148579591857348</v>
      </c>
      <c r="B593" s="24">
        <v>0.63554521675266462</v>
      </c>
    </row>
    <row r="594" spans="1:2" x14ac:dyDescent="0.2">
      <c r="A594" s="23">
        <v>2.0166215929558331</v>
      </c>
      <c r="B594" s="24">
        <v>0.20382689414417926</v>
      </c>
    </row>
    <row r="595" spans="1:2" x14ac:dyDescent="0.2">
      <c r="A595" s="23">
        <v>2.3613816631035469</v>
      </c>
      <c r="B595" s="24">
        <v>0.426243190599216</v>
      </c>
    </row>
    <row r="596" spans="1:2" x14ac:dyDescent="0.2">
      <c r="A596" s="23">
        <v>2.1467828713749539</v>
      </c>
      <c r="B596" s="24">
        <v>0.38155638076198117</v>
      </c>
    </row>
    <row r="597" spans="1:2" x14ac:dyDescent="0.2">
      <c r="A597" s="23">
        <v>1.9395964641123469</v>
      </c>
      <c r="B597" s="24">
        <v>0.23778126982238504</v>
      </c>
    </row>
    <row r="598" spans="1:2" x14ac:dyDescent="0.2">
      <c r="A598" s="23">
        <v>2.0312255469184879</v>
      </c>
      <c r="B598" s="24">
        <v>0.34993449495439621</v>
      </c>
    </row>
    <row r="599" spans="1:2" x14ac:dyDescent="0.2">
      <c r="A599" s="23">
        <v>1.9306923703312744</v>
      </c>
      <c r="B599" s="24">
        <v>0.30501291603706576</v>
      </c>
    </row>
    <row r="600" spans="1:2" x14ac:dyDescent="0.2">
      <c r="A600" s="23">
        <v>2.1641134542857148</v>
      </c>
      <c r="B600" s="24">
        <v>0.1632743309525756</v>
      </c>
    </row>
    <row r="601" spans="1:2" x14ac:dyDescent="0.2">
      <c r="A601" s="23">
        <v>3.9090285893249486</v>
      </c>
      <c r="B601" s="24">
        <v>0.64739444579402705</v>
      </c>
    </row>
    <row r="602" spans="1:2" x14ac:dyDescent="0.2">
      <c r="A602" s="23">
        <v>2.4711615738419375</v>
      </c>
      <c r="B602" s="24">
        <v>0.44587152048394713</v>
      </c>
    </row>
    <row r="603" spans="1:2" x14ac:dyDescent="0.2">
      <c r="A603" s="23">
        <v>2.2849439718154625</v>
      </c>
      <c r="B603" s="24">
        <v>0.13738206328589</v>
      </c>
    </row>
    <row r="604" spans="1:2" x14ac:dyDescent="0.2">
      <c r="A604" s="23">
        <v>4.8920076313208094</v>
      </c>
      <c r="B604" s="24">
        <v>0.76693192665650178</v>
      </c>
    </row>
    <row r="605" spans="1:2" x14ac:dyDescent="0.2">
      <c r="A605" s="23">
        <v>5.0898632236942873</v>
      </c>
      <c r="B605" s="24">
        <v>0.79035203192041148</v>
      </c>
    </row>
    <row r="606" spans="1:2" x14ac:dyDescent="0.2">
      <c r="A606" s="23">
        <v>2.6446471499300532</v>
      </c>
      <c r="B606" s="24">
        <v>0.47444653297280853</v>
      </c>
    </row>
    <row r="607" spans="1:2" x14ac:dyDescent="0.2">
      <c r="A607" s="23">
        <v>2.6839918335123665</v>
      </c>
      <c r="B607" s="24">
        <v>0.48061913912769805</v>
      </c>
    </row>
    <row r="608" spans="1:2" x14ac:dyDescent="0.2">
      <c r="A608" s="23">
        <v>2.7126954526180636</v>
      </c>
      <c r="B608" s="24">
        <v>0.48506363940212521</v>
      </c>
    </row>
    <row r="609" spans="1:2" x14ac:dyDescent="0.2">
      <c r="A609" s="23">
        <v>3.0695412051444833</v>
      </c>
      <c r="B609" s="24">
        <v>0.53718990795584043</v>
      </c>
    </row>
    <row r="610" spans="1:2" x14ac:dyDescent="0.2">
      <c r="A610" s="23">
        <v>4.6686980846289154</v>
      </c>
      <c r="B610" s="24">
        <v>0.74029156434787102</v>
      </c>
    </row>
    <row r="611" spans="1:2" x14ac:dyDescent="0.2">
      <c r="A611" s="23">
        <v>2.1476042660930132</v>
      </c>
      <c r="B611" s="24">
        <v>0.38175312447257764</v>
      </c>
    </row>
    <row r="612" spans="1:2" x14ac:dyDescent="0.2">
      <c r="A612" s="23">
        <v>2.0444776436394321</v>
      </c>
      <c r="B612" s="24">
        <v>0.1948250573075293</v>
      </c>
    </row>
    <row r="613" spans="1:2" x14ac:dyDescent="0.2">
      <c r="A613" s="23">
        <v>4.1864514492709732</v>
      </c>
      <c r="B613" s="24">
        <v>0.68181177909007329</v>
      </c>
    </row>
    <row r="614" spans="1:2" x14ac:dyDescent="0.2">
      <c r="A614" s="23">
        <v>2.5010210672998738</v>
      </c>
      <c r="B614" s="24">
        <v>0.45097412276231569</v>
      </c>
    </row>
    <row r="615" spans="1:2" x14ac:dyDescent="0.2">
      <c r="A615" s="23">
        <v>2.0281643004006868</v>
      </c>
      <c r="B615" s="24">
        <v>0.19997982187072391</v>
      </c>
    </row>
    <row r="616" spans="1:2" x14ac:dyDescent="0.2">
      <c r="A616" s="23">
        <v>4.2466963842853431</v>
      </c>
      <c r="B616" s="24">
        <v>0.68920162362098114</v>
      </c>
    </row>
    <row r="617" spans="1:2" x14ac:dyDescent="0.2">
      <c r="A617" s="23">
        <v>1.9485732356028782</v>
      </c>
      <c r="B617" s="24">
        <v>0.23247583268745295</v>
      </c>
    </row>
    <row r="618" spans="1:2" x14ac:dyDescent="0.2">
      <c r="A618" s="23">
        <v>2.0031031091597375</v>
      </c>
      <c r="B618" s="24">
        <v>0.2085868780104381</v>
      </c>
    </row>
    <row r="619" spans="1:2" x14ac:dyDescent="0.2">
      <c r="A619" s="23">
        <v>2.0693554132958933</v>
      </c>
      <c r="B619" s="24">
        <v>0.36144313567707392</v>
      </c>
    </row>
    <row r="620" spans="1:2" x14ac:dyDescent="0.2">
      <c r="A620" s="23">
        <v>2.2588863866408242</v>
      </c>
      <c r="B620" s="24">
        <v>0.40627606528514004</v>
      </c>
    </row>
    <row r="621" spans="1:2" x14ac:dyDescent="0.2">
      <c r="A621" s="23">
        <v>3.7456953582810089</v>
      </c>
      <c r="B621" s="24">
        <v>0.62678056314046182</v>
      </c>
    </row>
    <row r="622" spans="1:2" x14ac:dyDescent="0.2">
      <c r="A622" s="23">
        <v>4.0739190711971407</v>
      </c>
      <c r="B622" s="24">
        <v>0.66793187742411519</v>
      </c>
    </row>
    <row r="623" spans="1:2" x14ac:dyDescent="0.2">
      <c r="A623" s="23">
        <v>2.2933732655216081</v>
      </c>
      <c r="B623" s="24">
        <v>0.1357090613958695</v>
      </c>
    </row>
    <row r="624" spans="1:2" x14ac:dyDescent="0.2">
      <c r="A624" s="23">
        <v>3.3237211425745352</v>
      </c>
      <c r="B624" s="24">
        <v>0.57188008429790016</v>
      </c>
    </row>
    <row r="625" spans="1:2" x14ac:dyDescent="0.2">
      <c r="A625" s="23">
        <v>2.6806603329827059</v>
      </c>
      <c r="B625" s="24">
        <v>0.480100167235046</v>
      </c>
    </row>
    <row r="626" spans="1:2" x14ac:dyDescent="0.2">
      <c r="A626" s="23">
        <v>3.555125649027719</v>
      </c>
      <c r="B626" s="24">
        <v>0.60232108152235564</v>
      </c>
    </row>
    <row r="627" spans="1:2" x14ac:dyDescent="0.2">
      <c r="A627" s="23">
        <v>3.4332997823517828</v>
      </c>
      <c r="B627" s="24">
        <v>0.58640946998183452</v>
      </c>
    </row>
    <row r="628" spans="1:2" x14ac:dyDescent="0.2">
      <c r="A628" s="23">
        <v>3.262516074050728</v>
      </c>
      <c r="B628" s="24">
        <v>0.56366309988695806</v>
      </c>
    </row>
    <row r="629" spans="1:2" x14ac:dyDescent="0.2">
      <c r="A629" s="23">
        <v>4.045167799704771</v>
      </c>
      <c r="B629" s="24">
        <v>0.66436869756628747</v>
      </c>
    </row>
    <row r="630" spans="1:2" x14ac:dyDescent="0.2">
      <c r="A630" s="23">
        <v>2.6383789202330132</v>
      </c>
      <c r="B630" s="24">
        <v>0.47345404784907708</v>
      </c>
    </row>
    <row r="631" spans="1:2" x14ac:dyDescent="0.2">
      <c r="A631" s="23">
        <v>2.4374064658996892</v>
      </c>
      <c r="B631" s="24">
        <v>0.4399913925324892</v>
      </c>
    </row>
    <row r="632" spans="1:2" x14ac:dyDescent="0.2">
      <c r="A632" s="23">
        <v>3.0961480150765683</v>
      </c>
      <c r="B632" s="24">
        <v>0.54089696263580811</v>
      </c>
    </row>
    <row r="633" spans="1:2" x14ac:dyDescent="0.2">
      <c r="A633" s="23">
        <v>2.1854554826002146</v>
      </c>
      <c r="B633" s="24">
        <v>0.39053338625688683</v>
      </c>
    </row>
    <row r="634" spans="1:2" x14ac:dyDescent="0.2">
      <c r="A634" s="23">
        <v>3.6346357428719629</v>
      </c>
      <c r="B634" s="24">
        <v>0.61258511700100549</v>
      </c>
    </row>
    <row r="635" spans="1:2" x14ac:dyDescent="0.2">
      <c r="A635" s="23">
        <v>3.3637425945283486</v>
      </c>
      <c r="B635" s="24">
        <v>0.57721251218383451</v>
      </c>
    </row>
    <row r="636" spans="1:2" x14ac:dyDescent="0.2">
      <c r="A636" s="23">
        <v>2.971936951814695</v>
      </c>
      <c r="B636" s="24">
        <v>0.52340952495139104</v>
      </c>
    </row>
    <row r="637" spans="1:2" x14ac:dyDescent="0.2">
      <c r="A637" s="23">
        <v>1.9489773956043774</v>
      </c>
      <c r="B637" s="24">
        <v>0.3166712709963197</v>
      </c>
    </row>
    <row r="638" spans="1:2" x14ac:dyDescent="0.2">
      <c r="A638" s="23">
        <v>2.9146862257499331</v>
      </c>
      <c r="B638" s="24">
        <v>0.51517967586707747</v>
      </c>
    </row>
    <row r="639" spans="1:2" x14ac:dyDescent="0.2">
      <c r="A639" s="23">
        <v>1.9133789931570089</v>
      </c>
      <c r="B639" s="24">
        <v>0.2861899535534918</v>
      </c>
    </row>
    <row r="640" spans="1:2" x14ac:dyDescent="0.2">
      <c r="A640" s="23">
        <v>4.7434508546651877</v>
      </c>
      <c r="B640" s="24">
        <v>0.74923601338095835</v>
      </c>
    </row>
    <row r="641" spans="1:2" x14ac:dyDescent="0.2">
      <c r="A641" s="23">
        <v>3.1230995040372544</v>
      </c>
      <c r="B641" s="24">
        <v>0.5446321272118122</v>
      </c>
    </row>
    <row r="642" spans="1:2" x14ac:dyDescent="0.2">
      <c r="A642" s="23">
        <v>2.8688536575758308</v>
      </c>
      <c r="B642" s="24">
        <v>0.50850333390828939</v>
      </c>
    </row>
    <row r="643" spans="1:2" x14ac:dyDescent="0.2">
      <c r="A643" s="23">
        <v>2.210741039049708</v>
      </c>
      <c r="B643" s="24">
        <v>0.39612454397917474</v>
      </c>
    </row>
    <row r="644" spans="1:2" x14ac:dyDescent="0.2">
      <c r="A644" s="23">
        <v>4.4890254029708281</v>
      </c>
      <c r="B644" s="24">
        <v>0.71867166891178724</v>
      </c>
    </row>
    <row r="645" spans="1:2" x14ac:dyDescent="0.2">
      <c r="A645" s="23">
        <v>3.4149685056328907</v>
      </c>
      <c r="B645" s="24">
        <v>0.58399406118960417</v>
      </c>
    </row>
    <row r="646" spans="1:2" x14ac:dyDescent="0.2">
      <c r="A646" s="23">
        <v>4.7241176719737288</v>
      </c>
      <c r="B646" s="24">
        <v>0.74692540093062099</v>
      </c>
    </row>
    <row r="647" spans="1:2" x14ac:dyDescent="0.2">
      <c r="A647" s="23">
        <v>2.1068421252071583</v>
      </c>
      <c r="B647" s="24">
        <v>0.17731356730738837</v>
      </c>
    </row>
    <row r="648" spans="1:2" x14ac:dyDescent="0.2">
      <c r="A648" s="23">
        <v>5.2925948929087401</v>
      </c>
      <c r="B648" s="24">
        <v>0.81419482707170532</v>
      </c>
    </row>
    <row r="649" spans="1:2" x14ac:dyDescent="0.2">
      <c r="A649" s="23">
        <v>2.309099482591535</v>
      </c>
      <c r="B649" s="24">
        <v>0.41629884757786095</v>
      </c>
    </row>
    <row r="650" spans="1:2" x14ac:dyDescent="0.2">
      <c r="A650" s="23">
        <v>1.9229204300123564</v>
      </c>
      <c r="B650" s="24">
        <v>0.29844598365955405</v>
      </c>
    </row>
    <row r="651" spans="1:2" x14ac:dyDescent="0.2">
      <c r="A651" s="23">
        <v>2.135925885142417</v>
      </c>
      <c r="B651" s="24">
        <v>0.37892831638022034</v>
      </c>
    </row>
    <row r="652" spans="1:2" x14ac:dyDescent="0.2">
      <c r="A652" s="23">
        <v>1.9218449383516782</v>
      </c>
      <c r="B652" s="24">
        <v>0.2515313346122543</v>
      </c>
    </row>
    <row r="653" spans="1:2" x14ac:dyDescent="0.2">
      <c r="A653" s="23">
        <v>3.9392242035239859</v>
      </c>
      <c r="B653" s="24">
        <v>0.65117456298284793</v>
      </c>
    </row>
    <row r="654" spans="1:2" x14ac:dyDescent="0.2">
      <c r="A654" s="23">
        <v>2.1475239266347952</v>
      </c>
      <c r="B654" s="24">
        <v>0.16718949181902018</v>
      </c>
    </row>
    <row r="655" spans="1:2" x14ac:dyDescent="0.2">
      <c r="A655" s="23">
        <v>2.3638508163344909</v>
      </c>
      <c r="B655" s="24">
        <v>0.42670208292357786</v>
      </c>
    </row>
    <row r="656" spans="1:2" x14ac:dyDescent="0.2">
      <c r="A656" s="23">
        <v>4.4055007313978907</v>
      </c>
      <c r="B656" s="24">
        <v>0.70855735699530442</v>
      </c>
    </row>
    <row r="657" spans="1:2" x14ac:dyDescent="0.2">
      <c r="A657" s="23">
        <v>4.355858061075164</v>
      </c>
      <c r="B657" s="24">
        <v>0.70252504705857932</v>
      </c>
    </row>
    <row r="658" spans="1:2" x14ac:dyDescent="0.2">
      <c r="A658" s="23">
        <v>3.5098336720835071</v>
      </c>
      <c r="B658" s="24">
        <v>0.596432981816716</v>
      </c>
    </row>
    <row r="659" spans="1:2" x14ac:dyDescent="0.2">
      <c r="A659" s="23">
        <v>2.1883936957819565</v>
      </c>
      <c r="B659" s="24">
        <v>0.39119347460925513</v>
      </c>
    </row>
    <row r="660" spans="1:2" x14ac:dyDescent="0.2">
      <c r="A660" s="23">
        <v>2.5427750056032137</v>
      </c>
      <c r="B660" s="24">
        <v>0.45796888907877403</v>
      </c>
    </row>
    <row r="661" spans="1:2" x14ac:dyDescent="0.2">
      <c r="A661" s="23">
        <v>2.3700488165084539</v>
      </c>
      <c r="B661" s="24">
        <v>0.42785002740100764</v>
      </c>
    </row>
    <row r="662" spans="1:2" x14ac:dyDescent="0.2">
      <c r="A662" s="23">
        <v>2.694948189558537</v>
      </c>
      <c r="B662" s="24">
        <v>0.48232125483035465</v>
      </c>
    </row>
    <row r="663" spans="1:2" x14ac:dyDescent="0.2">
      <c r="A663" s="23">
        <v>2.3212929334966779</v>
      </c>
      <c r="B663" s="24">
        <v>0.41865916408931114</v>
      </c>
    </row>
    <row r="664" spans="1:2" x14ac:dyDescent="0.2">
      <c r="A664" s="23">
        <v>1.9241191997840086</v>
      </c>
      <c r="B664" s="24">
        <v>0.2493540983983544</v>
      </c>
    </row>
    <row r="665" spans="1:2" x14ac:dyDescent="0.2">
      <c r="A665" s="23">
        <v>5.0284890401890072</v>
      </c>
      <c r="B665" s="24">
        <v>0.78310410007542497</v>
      </c>
    </row>
    <row r="666" spans="1:2" x14ac:dyDescent="0.2">
      <c r="A666" s="23">
        <v>2.1232973886622668</v>
      </c>
      <c r="B666" s="24">
        <v>0.37580321641537939</v>
      </c>
    </row>
    <row r="667" spans="1:2" x14ac:dyDescent="0.2">
      <c r="A667" s="23">
        <v>2.1872175243572478</v>
      </c>
      <c r="B667" s="24">
        <v>0.39092958284374435</v>
      </c>
    </row>
    <row r="668" spans="1:2" x14ac:dyDescent="0.2">
      <c r="A668" s="23">
        <v>2.7303593825600068</v>
      </c>
      <c r="B668" s="24">
        <v>0.48777567093025403</v>
      </c>
    </row>
    <row r="669" spans="1:2" x14ac:dyDescent="0.2">
      <c r="A669" s="23">
        <v>4.0320956381863162</v>
      </c>
      <c r="B669" s="24">
        <v>0.66274625416485999</v>
      </c>
    </row>
    <row r="670" spans="1:2" x14ac:dyDescent="0.2">
      <c r="A670" s="23">
        <v>2.9329177145056478</v>
      </c>
      <c r="B670" s="24">
        <v>0.5178131969417259</v>
      </c>
    </row>
    <row r="671" spans="1:2" x14ac:dyDescent="0.2">
      <c r="A671" s="23">
        <v>4.5059881406517794</v>
      </c>
      <c r="B671" s="24">
        <v>0.72072058159536512</v>
      </c>
    </row>
    <row r="672" spans="1:2" x14ac:dyDescent="0.2">
      <c r="A672" s="23">
        <v>2.3511146530539104</v>
      </c>
      <c r="B672" s="24">
        <v>0.42432521412979568</v>
      </c>
    </row>
    <row r="673" spans="1:2" x14ac:dyDescent="0.2">
      <c r="A673" s="23">
        <v>2.748130027129144</v>
      </c>
      <c r="B673" s="24">
        <v>0.49048715863806619</v>
      </c>
    </row>
    <row r="674" spans="1:2" x14ac:dyDescent="0.2">
      <c r="A674" s="23">
        <v>2.7009531247330352</v>
      </c>
      <c r="B674" s="24">
        <v>0.48325117646687293</v>
      </c>
    </row>
    <row r="675" spans="1:2" x14ac:dyDescent="0.2">
      <c r="A675" s="23">
        <v>3.7676406194072682</v>
      </c>
      <c r="B675" s="24">
        <v>0.62956756807562386</v>
      </c>
    </row>
    <row r="676" spans="1:2" x14ac:dyDescent="0.2">
      <c r="A676" s="23">
        <v>4.3913782338881173</v>
      </c>
      <c r="B676" s="24">
        <v>0.7068428961428046</v>
      </c>
    </row>
    <row r="677" spans="1:2" x14ac:dyDescent="0.2">
      <c r="A677" s="23">
        <v>1.9250046532795488</v>
      </c>
      <c r="B677" s="24">
        <v>0.30036816827029555</v>
      </c>
    </row>
    <row r="678" spans="1:2" x14ac:dyDescent="0.2">
      <c r="A678" s="23">
        <v>3.1094946553780836</v>
      </c>
      <c r="B678" s="24">
        <v>0.542749105727523</v>
      </c>
    </row>
    <row r="679" spans="1:2" x14ac:dyDescent="0.2">
      <c r="A679" s="23">
        <v>3.7364347413210948</v>
      </c>
      <c r="B679" s="24">
        <v>0.625602766731988</v>
      </c>
    </row>
    <row r="680" spans="1:2" x14ac:dyDescent="0.2">
      <c r="A680" s="23">
        <v>2.1169731822529227</v>
      </c>
      <c r="B680" s="24">
        <v>0.17471478830640871</v>
      </c>
    </row>
    <row r="681" spans="1:2" x14ac:dyDescent="0.2">
      <c r="A681" s="23">
        <v>5.0836622007373524</v>
      </c>
      <c r="B681" s="24">
        <v>0.7896203877500847</v>
      </c>
    </row>
    <row r="682" spans="1:2" x14ac:dyDescent="0.2">
      <c r="A682" s="23">
        <v>4.8962786245156558</v>
      </c>
      <c r="B682" s="24">
        <v>0.76743920504781205</v>
      </c>
    </row>
    <row r="683" spans="1:2" x14ac:dyDescent="0.2">
      <c r="A683" s="23">
        <v>3.8433989251550891</v>
      </c>
      <c r="B683" s="24">
        <v>0.63914639872011392</v>
      </c>
    </row>
    <row r="684" spans="1:2" x14ac:dyDescent="0.2">
      <c r="A684" s="23">
        <v>5.0803787783554126</v>
      </c>
      <c r="B684" s="24">
        <v>0.7892329250450435</v>
      </c>
    </row>
    <row r="685" spans="1:2" x14ac:dyDescent="0.2">
      <c r="A685" s="23">
        <v>2.8900929048358934</v>
      </c>
      <c r="B685" s="24">
        <v>0.51160741428222667</v>
      </c>
    </row>
    <row r="686" spans="1:2" x14ac:dyDescent="0.2">
      <c r="A686" s="23">
        <v>3.4871618781938887</v>
      </c>
      <c r="B686" s="24">
        <v>0.59347363929903929</v>
      </c>
    </row>
    <row r="687" spans="1:2" x14ac:dyDescent="0.2">
      <c r="A687" s="23">
        <v>2.6885545239284854</v>
      </c>
      <c r="B687" s="24">
        <v>0.48132883077445815</v>
      </c>
    </row>
    <row r="688" spans="1:2" x14ac:dyDescent="0.2">
      <c r="A688" s="23">
        <v>2.0028966778102624</v>
      </c>
      <c r="B688" s="24">
        <v>0.20866197615619012</v>
      </c>
    </row>
    <row r="689" spans="1:2" x14ac:dyDescent="0.2">
      <c r="A689" s="23">
        <v>2.2499349484521005</v>
      </c>
      <c r="B689" s="24">
        <v>0.40443251415922649</v>
      </c>
    </row>
    <row r="690" spans="1:2" x14ac:dyDescent="0.2">
      <c r="A690" s="23">
        <v>2.0183343447942583</v>
      </c>
      <c r="B690" s="24">
        <v>0.34567905293367351</v>
      </c>
    </row>
    <row r="691" spans="1:2" x14ac:dyDescent="0.2">
      <c r="A691" s="23">
        <v>1.9193080985999018</v>
      </c>
      <c r="B691" s="24">
        <v>0.25423098087977608</v>
      </c>
    </row>
    <row r="692" spans="1:2" x14ac:dyDescent="0.2">
      <c r="A692" s="23">
        <v>2.6199275257889143</v>
      </c>
      <c r="B692" s="24">
        <v>0.47051727940713856</v>
      </c>
    </row>
    <row r="693" spans="1:2" x14ac:dyDescent="0.2">
      <c r="A693" s="23">
        <v>2.0832753553918684</v>
      </c>
      <c r="B693" s="24">
        <v>0.3653295842444631</v>
      </c>
    </row>
    <row r="694" spans="1:2" x14ac:dyDescent="0.2">
      <c r="A694" s="23">
        <v>4.4216541861273617</v>
      </c>
      <c r="B694" s="24">
        <v>0.71051681550738877</v>
      </c>
    </row>
    <row r="695" spans="1:2" x14ac:dyDescent="0.2">
      <c r="A695" s="23">
        <v>3.7206304130928487</v>
      </c>
      <c r="B695" s="24">
        <v>0.62359032617630683</v>
      </c>
    </row>
    <row r="696" spans="1:2" x14ac:dyDescent="0.2">
      <c r="A696" s="23">
        <v>2.8794066280299568</v>
      </c>
      <c r="B696" s="24">
        <v>0.51004788309534055</v>
      </c>
    </row>
    <row r="697" spans="1:2" x14ac:dyDescent="0.2">
      <c r="A697" s="23">
        <v>4.2534443205269392</v>
      </c>
      <c r="B697" s="24">
        <v>0.6900276680002867</v>
      </c>
    </row>
    <row r="698" spans="1:2" x14ac:dyDescent="0.2">
      <c r="A698" s="23">
        <v>4.5383120933022276</v>
      </c>
      <c r="B698" s="24">
        <v>0.72462030252553766</v>
      </c>
    </row>
    <row r="699" spans="1:2" x14ac:dyDescent="0.2">
      <c r="A699" s="23">
        <v>3.6055069667916522</v>
      </c>
      <c r="B699" s="24">
        <v>0.60883518416555682</v>
      </c>
    </row>
    <row r="700" spans="1:2" x14ac:dyDescent="0.2">
      <c r="A700" s="23">
        <v>1.9806052506796925</v>
      </c>
      <c r="B700" s="24">
        <v>0.21729709319198559</v>
      </c>
    </row>
    <row r="701" spans="1:2" x14ac:dyDescent="0.2">
      <c r="A701" s="23">
        <v>2.6228222198507187</v>
      </c>
      <c r="B701" s="24">
        <v>0.47097953834336542</v>
      </c>
    </row>
    <row r="702" spans="1:2" x14ac:dyDescent="0.2">
      <c r="A702" s="23">
        <v>2.5687361750922024</v>
      </c>
      <c r="B702" s="24">
        <v>0.46224261763997815</v>
      </c>
    </row>
    <row r="703" spans="1:2" x14ac:dyDescent="0.2">
      <c r="A703" s="23">
        <v>3.0965356892640612</v>
      </c>
      <c r="B703" s="24">
        <v>0.54095082985989562</v>
      </c>
    </row>
    <row r="704" spans="1:2" x14ac:dyDescent="0.2">
      <c r="A704" s="23">
        <v>2.5484395900092127</v>
      </c>
      <c r="B704" s="24">
        <v>0.45890611256489289</v>
      </c>
    </row>
    <row r="705" spans="1:2" x14ac:dyDescent="0.2">
      <c r="A705" s="23">
        <v>1.9621390316015908</v>
      </c>
      <c r="B705" s="24">
        <v>0.32342276649558632</v>
      </c>
    </row>
    <row r="706" spans="1:2" x14ac:dyDescent="0.2">
      <c r="A706" s="23">
        <v>3.5277521400248251</v>
      </c>
      <c r="B706" s="24">
        <v>0.59876617728185588</v>
      </c>
    </row>
    <row r="707" spans="1:2" x14ac:dyDescent="0.2">
      <c r="A707" s="23">
        <v>3.2204488991932312</v>
      </c>
      <c r="B707" s="24">
        <v>0.55796896594591772</v>
      </c>
    </row>
    <row r="708" spans="1:2" x14ac:dyDescent="0.2">
      <c r="A708" s="23">
        <v>2.7898808498447552</v>
      </c>
      <c r="B708" s="24">
        <v>0.4967943242023064</v>
      </c>
    </row>
    <row r="709" spans="1:2" x14ac:dyDescent="0.2">
      <c r="A709" s="23">
        <v>2.3957529968585543</v>
      </c>
      <c r="B709" s="24">
        <v>0.43255280846444377</v>
      </c>
    </row>
    <row r="710" spans="1:2" x14ac:dyDescent="0.2">
      <c r="A710" s="23">
        <v>2.934656037939289</v>
      </c>
      <c r="B710" s="24">
        <v>0.51806366139431359</v>
      </c>
    </row>
    <row r="711" spans="1:2" x14ac:dyDescent="0.2">
      <c r="A711" s="23">
        <v>4.0719178988369471</v>
      </c>
      <c r="B711" s="24">
        <v>0.66768410123393329</v>
      </c>
    </row>
    <row r="712" spans="1:2" x14ac:dyDescent="0.2">
      <c r="A712" s="23">
        <v>2.6706615698191212</v>
      </c>
      <c r="B712" s="24">
        <v>0.4785385681520532</v>
      </c>
    </row>
    <row r="713" spans="1:2" x14ac:dyDescent="0.2">
      <c r="A713" s="23">
        <v>3.0505332621466432</v>
      </c>
      <c r="B713" s="24">
        <v>0.53452915679505819</v>
      </c>
    </row>
    <row r="714" spans="1:2" x14ac:dyDescent="0.2">
      <c r="A714" s="23">
        <v>2.1327891005331212</v>
      </c>
      <c r="B714" s="24">
        <v>0.37815914965642849</v>
      </c>
    </row>
    <row r="715" spans="1:2" x14ac:dyDescent="0.2">
      <c r="A715" s="23">
        <v>3.0103424558524794</v>
      </c>
      <c r="B715" s="24">
        <v>0.52886749783554599</v>
      </c>
    </row>
    <row r="716" spans="1:2" x14ac:dyDescent="0.2">
      <c r="A716" s="23">
        <v>3.9281027990983359</v>
      </c>
      <c r="B716" s="24">
        <v>0.64978335046234059</v>
      </c>
    </row>
    <row r="717" spans="1:2" x14ac:dyDescent="0.2">
      <c r="A717" s="23">
        <v>3.5702613741447311</v>
      </c>
      <c r="B717" s="24">
        <v>0.60428191959744315</v>
      </c>
    </row>
    <row r="718" spans="1:2" x14ac:dyDescent="0.2">
      <c r="A718" s="23">
        <v>2.1470994589322721</v>
      </c>
      <c r="B718" s="24">
        <v>0.16729114074244519</v>
      </c>
    </row>
    <row r="719" spans="1:2" x14ac:dyDescent="0.2">
      <c r="A719" s="23">
        <v>1.9849369585665371</v>
      </c>
      <c r="B719" s="24">
        <v>0.33339550450871097</v>
      </c>
    </row>
    <row r="720" spans="1:2" x14ac:dyDescent="0.2">
      <c r="A720" s="23">
        <v>3.8205467645531539</v>
      </c>
      <c r="B720" s="24">
        <v>0.63626371881075827</v>
      </c>
    </row>
    <row r="721" spans="1:2" x14ac:dyDescent="0.2">
      <c r="A721" s="23">
        <v>2.445449730770191</v>
      </c>
      <c r="B721" s="24">
        <v>0.44140391625920694</v>
      </c>
    </row>
    <row r="722" spans="1:2" x14ac:dyDescent="0.2">
      <c r="A722" s="23">
        <v>3.8938502458826361</v>
      </c>
      <c r="B722" s="24">
        <v>0.64549085780661808</v>
      </c>
    </row>
    <row r="723" spans="1:2" x14ac:dyDescent="0.2">
      <c r="A723" s="23">
        <v>2.808503802509593</v>
      </c>
      <c r="B723" s="24">
        <v>0.49958050811124</v>
      </c>
    </row>
    <row r="724" spans="1:2" x14ac:dyDescent="0.2">
      <c r="A724" s="23">
        <v>4.1703155883062113</v>
      </c>
      <c r="B724" s="24">
        <v>0.67982780523412745</v>
      </c>
    </row>
    <row r="725" spans="1:2" x14ac:dyDescent="0.2">
      <c r="A725" s="23">
        <v>2.4627328913301767</v>
      </c>
      <c r="B725" s="24">
        <v>0.44441479534263645</v>
      </c>
    </row>
    <row r="726" spans="1:2" x14ac:dyDescent="0.2">
      <c r="A726" s="23">
        <v>5.3149438669480773</v>
      </c>
      <c r="B726" s="24">
        <v>0.81681454702016243</v>
      </c>
    </row>
    <row r="727" spans="1:2" x14ac:dyDescent="0.2">
      <c r="A727" s="23">
        <v>2.0380928661828963</v>
      </c>
      <c r="B727" s="24">
        <v>0.3521167183762508</v>
      </c>
    </row>
    <row r="728" spans="1:2" x14ac:dyDescent="0.2">
      <c r="A728" s="23">
        <v>2.5743465329417488</v>
      </c>
      <c r="B728" s="24">
        <v>0.46315908820669721</v>
      </c>
    </row>
    <row r="729" spans="1:2" x14ac:dyDescent="0.2">
      <c r="A729" s="23">
        <v>2.0395181010806134</v>
      </c>
      <c r="B729" s="24">
        <v>0.35256287904541667</v>
      </c>
    </row>
    <row r="730" spans="1:2" x14ac:dyDescent="0.2">
      <c r="A730" s="23">
        <v>2.0993356142480639</v>
      </c>
      <c r="B730" s="24">
        <v>0.36964683894044015</v>
      </c>
    </row>
    <row r="731" spans="1:2" x14ac:dyDescent="0.2">
      <c r="A731" s="23">
        <v>2.1479527759518171</v>
      </c>
      <c r="B731" s="24">
        <v>0.16708687096048744</v>
      </c>
    </row>
    <row r="732" spans="1:2" x14ac:dyDescent="0.2">
      <c r="A732" s="23">
        <v>2.0099322387021163</v>
      </c>
      <c r="B732" s="24">
        <v>0.20614481355357253</v>
      </c>
    </row>
    <row r="733" spans="1:2" x14ac:dyDescent="0.2">
      <c r="A733" s="23">
        <v>2.5481027412471198</v>
      </c>
      <c r="B733" s="24">
        <v>0.45885045489397758</v>
      </c>
    </row>
    <row r="734" spans="1:2" x14ac:dyDescent="0.2">
      <c r="A734" s="23">
        <v>2.118988797797575</v>
      </c>
      <c r="B734" s="24">
        <v>0.37471906110623737</v>
      </c>
    </row>
    <row r="735" spans="1:2" x14ac:dyDescent="0.2">
      <c r="A735" s="23">
        <v>1.9335554446333081</v>
      </c>
      <c r="B735" s="24">
        <v>0.2418170637697464</v>
      </c>
    </row>
    <row r="736" spans="1:2" x14ac:dyDescent="0.2">
      <c r="A736" s="23">
        <v>4.3814879054642395</v>
      </c>
      <c r="B736" s="24">
        <v>0.70564145185571103</v>
      </c>
    </row>
    <row r="737" spans="1:2" x14ac:dyDescent="0.2">
      <c r="A737" s="23">
        <v>2.0385665125634786</v>
      </c>
      <c r="B737" s="24">
        <v>0.3522652395580676</v>
      </c>
    </row>
    <row r="738" spans="1:2" x14ac:dyDescent="0.2">
      <c r="A738" s="23">
        <v>1.9350412088107614</v>
      </c>
      <c r="B738" s="24">
        <v>0.24078080759625567</v>
      </c>
    </row>
    <row r="739" spans="1:2" x14ac:dyDescent="0.2">
      <c r="A739" s="23">
        <v>1.9603918600350576</v>
      </c>
      <c r="B739" s="24">
        <v>0.32257860489759571</v>
      </c>
    </row>
    <row r="740" spans="1:2" x14ac:dyDescent="0.2">
      <c r="A740" s="23">
        <v>3.4982222011275783</v>
      </c>
      <c r="B740" s="24">
        <v>0.59491835797794845</v>
      </c>
    </row>
    <row r="741" spans="1:2" x14ac:dyDescent="0.2">
      <c r="A741" s="23">
        <v>3.6665854364938073</v>
      </c>
      <c r="B741" s="24">
        <v>0.61668504559949755</v>
      </c>
    </row>
    <row r="742" spans="1:2" x14ac:dyDescent="0.2">
      <c r="A742" s="23">
        <v>2.7637152393056774</v>
      </c>
      <c r="B742" s="24">
        <v>0.49285171060120087</v>
      </c>
    </row>
    <row r="743" spans="1:2" x14ac:dyDescent="0.2">
      <c r="A743" s="23">
        <v>2.9323372392750739</v>
      </c>
      <c r="B743" s="24">
        <v>0.51772953544332612</v>
      </c>
    </row>
    <row r="744" spans="1:2" x14ac:dyDescent="0.2">
      <c r="A744" s="23">
        <v>2.2887390815598079</v>
      </c>
      <c r="B744" s="24">
        <v>0.4122963061027759</v>
      </c>
    </row>
    <row r="745" spans="1:2" x14ac:dyDescent="0.2">
      <c r="A745" s="23">
        <v>3.0437227787407393</v>
      </c>
      <c r="B745" s="24">
        <v>0.53357322712426425</v>
      </c>
    </row>
    <row r="746" spans="1:2" x14ac:dyDescent="0.2">
      <c r="A746" s="23">
        <v>3.0639247086179049</v>
      </c>
      <c r="B746" s="24">
        <v>0.53640480150681558</v>
      </c>
    </row>
    <row r="747" spans="1:2" x14ac:dyDescent="0.2">
      <c r="A747" s="23">
        <v>4.0312800700129054</v>
      </c>
      <c r="B747" s="24">
        <v>0.66264498013062978</v>
      </c>
    </row>
    <row r="748" spans="1:2" x14ac:dyDescent="0.2">
      <c r="A748" s="23">
        <v>2.8382506196517312</v>
      </c>
      <c r="B748" s="24">
        <v>0.50399826169904249</v>
      </c>
    </row>
    <row r="749" spans="1:2" x14ac:dyDescent="0.2">
      <c r="A749" s="23">
        <v>1.927278541975973</v>
      </c>
      <c r="B749" s="24">
        <v>0.24660688867097202</v>
      </c>
    </row>
    <row r="750" spans="1:2" x14ac:dyDescent="0.2">
      <c r="A750" s="23">
        <v>2.9283917769443484</v>
      </c>
      <c r="B750" s="24">
        <v>0.51716056797183385</v>
      </c>
    </row>
    <row r="751" spans="1:2" x14ac:dyDescent="0.2">
      <c r="A751" s="23">
        <v>1.9695504753436537</v>
      </c>
      <c r="B751" s="24">
        <v>0.22206297636111186</v>
      </c>
    </row>
    <row r="752" spans="1:2" x14ac:dyDescent="0.2">
      <c r="A752" s="23">
        <v>1.9654383469286987</v>
      </c>
      <c r="B752" s="24">
        <v>0.22394301075230436</v>
      </c>
    </row>
    <row r="753" spans="1:2" x14ac:dyDescent="0.2">
      <c r="A753" s="23">
        <v>3.3169755935396483</v>
      </c>
      <c r="B753" s="24">
        <v>0.57097822973424928</v>
      </c>
    </row>
    <row r="754" spans="1:2" x14ac:dyDescent="0.2">
      <c r="A754" s="23">
        <v>2.2485993518485121</v>
      </c>
      <c r="B754" s="24">
        <v>0.14476755128337646</v>
      </c>
    </row>
    <row r="755" spans="1:2" x14ac:dyDescent="0.2">
      <c r="A755" s="23">
        <v>2.3348570355356131</v>
      </c>
      <c r="B755" s="24">
        <v>0.42125444298708131</v>
      </c>
    </row>
    <row r="756" spans="1:2" x14ac:dyDescent="0.2">
      <c r="A756" s="23">
        <v>2.815556804432767</v>
      </c>
      <c r="B756" s="24">
        <v>0.50063153541437844</v>
      </c>
    </row>
    <row r="757" spans="1:2" x14ac:dyDescent="0.2">
      <c r="A757" s="23">
        <v>3.2980517149670834</v>
      </c>
      <c r="B757" s="24">
        <v>0.56844328971913038</v>
      </c>
    </row>
    <row r="758" spans="1:2" x14ac:dyDescent="0.2">
      <c r="A758" s="23">
        <v>2.515989417028146</v>
      </c>
      <c r="B758" s="24">
        <v>0.453499708551727</v>
      </c>
    </row>
    <row r="759" spans="1:2" x14ac:dyDescent="0.2">
      <c r="A759" s="23">
        <v>4.3097235124331759</v>
      </c>
      <c r="B759" s="24">
        <v>0.69690433896397241</v>
      </c>
    </row>
    <row r="760" spans="1:2" x14ac:dyDescent="0.2">
      <c r="A760" s="23">
        <v>2.3605201203553658</v>
      </c>
      <c r="B760" s="24">
        <v>0.42608285911492783</v>
      </c>
    </row>
    <row r="761" spans="1:2" x14ac:dyDescent="0.2">
      <c r="A761" s="23">
        <v>2.4695056411960645</v>
      </c>
      <c r="B761" s="24">
        <v>0.44558591341943299</v>
      </c>
    </row>
    <row r="762" spans="1:2" x14ac:dyDescent="0.2">
      <c r="A762" s="23">
        <v>2.0787421761135461</v>
      </c>
      <c r="B762" s="24">
        <v>0.36407958942671764</v>
      </c>
    </row>
    <row r="763" spans="1:2" x14ac:dyDescent="0.2">
      <c r="A763" s="23">
        <v>3.9145261985181956</v>
      </c>
      <c r="B763" s="24">
        <v>0.64808335334871481</v>
      </c>
    </row>
    <row r="764" spans="1:2" x14ac:dyDescent="0.2">
      <c r="A764" s="23">
        <v>2.6830221238861034</v>
      </c>
      <c r="B764" s="24">
        <v>0.48046814887893791</v>
      </c>
    </row>
    <row r="765" spans="1:2" x14ac:dyDescent="0.2">
      <c r="A765" s="23">
        <v>2.6153334045038314</v>
      </c>
      <c r="B765" s="24">
        <v>0.46978244303074768</v>
      </c>
    </row>
    <row r="766" spans="1:2" x14ac:dyDescent="0.2">
      <c r="A766" s="23">
        <v>1.9223498752684716</v>
      </c>
      <c r="B766" s="24">
        <v>0.2510306886194914</v>
      </c>
    </row>
    <row r="767" spans="1:2" x14ac:dyDescent="0.2">
      <c r="A767" s="23">
        <v>1.9734284891335505</v>
      </c>
      <c r="B767" s="24">
        <v>0.22034636743525216</v>
      </c>
    </row>
    <row r="768" spans="1:2" x14ac:dyDescent="0.2">
      <c r="A768" s="23">
        <v>2.4254814503752762</v>
      </c>
      <c r="B768" s="24">
        <v>0.43788341554001375</v>
      </c>
    </row>
    <row r="769" spans="1:2" x14ac:dyDescent="0.2">
      <c r="A769" s="23">
        <v>2.0871301254418686</v>
      </c>
      <c r="B769" s="24">
        <v>0.36638124296373636</v>
      </c>
    </row>
    <row r="770" spans="1:2" x14ac:dyDescent="0.2">
      <c r="A770" s="23">
        <v>1.938221999938128</v>
      </c>
      <c r="B770" s="24">
        <v>0.31026281420849194</v>
      </c>
    </row>
    <row r="771" spans="1:2" x14ac:dyDescent="0.2">
      <c r="A771" s="23">
        <v>2.2344104046767428</v>
      </c>
      <c r="B771" s="24">
        <v>0.40118957617973888</v>
      </c>
    </row>
    <row r="772" spans="1:2" x14ac:dyDescent="0.2">
      <c r="A772" s="23">
        <v>2.0343731393388267</v>
      </c>
      <c r="B772" s="24">
        <v>0.19798186813566729</v>
      </c>
    </row>
    <row r="773" spans="1:2" x14ac:dyDescent="0.2">
      <c r="A773" s="23">
        <v>4.8401203926942706</v>
      </c>
      <c r="B773" s="24">
        <v>0.76076268759452959</v>
      </c>
    </row>
    <row r="774" spans="1:2" x14ac:dyDescent="0.2">
      <c r="A774" s="23">
        <v>4.1305943692297671</v>
      </c>
      <c r="B774" s="24">
        <v>0.67493515576554575</v>
      </c>
    </row>
    <row r="775" spans="1:2" x14ac:dyDescent="0.2">
      <c r="A775" s="23">
        <v>4.2715547279414956</v>
      </c>
      <c r="B775" s="24">
        <v>0.69224301087513973</v>
      </c>
    </row>
    <row r="776" spans="1:2" x14ac:dyDescent="0.2">
      <c r="A776" s="23">
        <v>2.4388074836939202</v>
      </c>
      <c r="B776" s="24">
        <v>0.44023796328701487</v>
      </c>
    </row>
    <row r="777" spans="1:2" x14ac:dyDescent="0.2">
      <c r="A777" s="23">
        <v>3.2859548309319817</v>
      </c>
      <c r="B777" s="24">
        <v>0.56681901504952981</v>
      </c>
    </row>
    <row r="778" spans="1:2" x14ac:dyDescent="0.2">
      <c r="A778" s="23">
        <v>3.7468252560097146</v>
      </c>
      <c r="B778" s="24">
        <v>0.62692419708455938</v>
      </c>
    </row>
    <row r="779" spans="1:2" x14ac:dyDescent="0.2">
      <c r="A779" s="23">
        <v>1.9117532321681319</v>
      </c>
      <c r="B779" s="24">
        <v>0.26651243520224027</v>
      </c>
    </row>
    <row r="780" spans="1:2" x14ac:dyDescent="0.2">
      <c r="A780" s="23">
        <v>2.1398800113978149</v>
      </c>
      <c r="B780" s="24">
        <v>0.37989149733909211</v>
      </c>
    </row>
    <row r="781" spans="1:2" x14ac:dyDescent="0.2">
      <c r="A781" s="23">
        <v>2.0984370500608089</v>
      </c>
      <c r="B781" s="24">
        <v>0.36940961703955011</v>
      </c>
    </row>
    <row r="782" spans="1:2" x14ac:dyDescent="0.2">
      <c r="A782" s="23">
        <v>2.0925778829382349</v>
      </c>
      <c r="B782" s="24">
        <v>0.36785055151335977</v>
      </c>
    </row>
    <row r="783" spans="1:2" x14ac:dyDescent="0.2">
      <c r="A783" s="23">
        <v>2.7254244898954565</v>
      </c>
      <c r="B783" s="24">
        <v>0.48701970850412052</v>
      </c>
    </row>
    <row r="784" spans="1:2" x14ac:dyDescent="0.2">
      <c r="A784" s="23">
        <v>2.5996789767859463</v>
      </c>
      <c r="B784" s="24">
        <v>0.4672672933666453</v>
      </c>
    </row>
    <row r="785" spans="1:2" x14ac:dyDescent="0.2">
      <c r="A785" s="23">
        <v>5.1895977246591967</v>
      </c>
      <c r="B785" s="24">
        <v>0.80209981406245268</v>
      </c>
    </row>
    <row r="786" spans="1:2" x14ac:dyDescent="0.2">
      <c r="A786" s="23">
        <v>4.8792757599911463</v>
      </c>
      <c r="B786" s="24">
        <v>0.76541925108017828</v>
      </c>
    </row>
    <row r="787" spans="1:2" x14ac:dyDescent="0.2">
      <c r="A787" s="23">
        <v>4.1442448297416119</v>
      </c>
      <c r="B787" s="24">
        <v>0.67661796947290131</v>
      </c>
    </row>
    <row r="788" spans="1:2" x14ac:dyDescent="0.2">
      <c r="A788" s="23">
        <v>2.7959698003016733</v>
      </c>
      <c r="B788" s="24">
        <v>0.497707075436778</v>
      </c>
    </row>
    <row r="789" spans="1:2" x14ac:dyDescent="0.2">
      <c r="A789" s="23">
        <v>3.2767962759810554</v>
      </c>
      <c r="B789" s="24">
        <v>0.56558724625639789</v>
      </c>
    </row>
    <row r="790" spans="1:2" x14ac:dyDescent="0.2">
      <c r="A790" s="23">
        <v>3.8204736550525253</v>
      </c>
      <c r="B790" s="24">
        <v>0.6362544872708692</v>
      </c>
    </row>
    <row r="791" spans="1:2" x14ac:dyDescent="0.2">
      <c r="A791" s="23">
        <v>2.7502504368596332</v>
      </c>
      <c r="B791" s="24">
        <v>0.49080959206999375</v>
      </c>
    </row>
    <row r="792" spans="1:2" x14ac:dyDescent="0.2">
      <c r="A792" s="23">
        <v>1.9613846735155041</v>
      </c>
      <c r="B792" s="24">
        <v>0.32305999828278148</v>
      </c>
    </row>
    <row r="793" spans="1:2" x14ac:dyDescent="0.2">
      <c r="A793" s="23">
        <v>3.7370730009236883</v>
      </c>
      <c r="B793" s="24">
        <v>0.62568397578061696</v>
      </c>
    </row>
    <row r="794" spans="1:2" x14ac:dyDescent="0.2">
      <c r="A794" s="23">
        <v>3.3946401135805404</v>
      </c>
      <c r="B794" s="24">
        <v>0.581308583271817</v>
      </c>
    </row>
    <row r="795" spans="1:2" x14ac:dyDescent="0.2">
      <c r="A795" s="23">
        <v>5.236896018591974</v>
      </c>
      <c r="B795" s="24">
        <v>0.80765860488151942</v>
      </c>
    </row>
    <row r="796" spans="1:2" x14ac:dyDescent="0.2">
      <c r="A796" s="23">
        <v>2.8372045299210189</v>
      </c>
      <c r="B796" s="24">
        <v>0.50384356589054979</v>
      </c>
    </row>
    <row r="797" spans="1:2" x14ac:dyDescent="0.2">
      <c r="A797" s="23">
        <v>3.0734547171357449</v>
      </c>
      <c r="B797" s="24">
        <v>0.53773642428323321</v>
      </c>
    </row>
    <row r="798" spans="1:2" x14ac:dyDescent="0.2">
      <c r="A798" s="23">
        <v>2.2575734349890491</v>
      </c>
      <c r="B798" s="24">
        <v>0.40600682359198398</v>
      </c>
    </row>
    <row r="799" spans="1:2" x14ac:dyDescent="0.2">
      <c r="A799" s="23">
        <v>1.9155873911506851</v>
      </c>
      <c r="B799" s="24">
        <v>0.28991045471343979</v>
      </c>
    </row>
    <row r="800" spans="1:2" x14ac:dyDescent="0.2">
      <c r="A800" s="23">
        <v>1.9129150310616183</v>
      </c>
      <c r="B800" s="24">
        <v>0.28524706654218857</v>
      </c>
    </row>
    <row r="801" spans="1:2" x14ac:dyDescent="0.2">
      <c r="A801" s="23">
        <v>2.1332726253975998</v>
      </c>
      <c r="B801" s="24">
        <v>0.1706453739025538</v>
      </c>
    </row>
    <row r="802" spans="1:2" x14ac:dyDescent="0.2">
      <c r="A802" s="23">
        <v>2.0179576378596926</v>
      </c>
      <c r="B802" s="24">
        <v>0.20337209555275532</v>
      </c>
    </row>
    <row r="803" spans="1:2" x14ac:dyDescent="0.2">
      <c r="A803" s="23">
        <v>4.3092612806080801</v>
      </c>
      <c r="B803" s="24">
        <v>0.69684795032441904</v>
      </c>
    </row>
    <row r="804" spans="1:2" x14ac:dyDescent="0.2">
      <c r="A804" s="23">
        <v>1.9113951507933225</v>
      </c>
      <c r="B804" s="24">
        <v>0.28130426169259976</v>
      </c>
    </row>
    <row r="805" spans="1:2" x14ac:dyDescent="0.2">
      <c r="A805" s="23">
        <v>2.1351828719609887</v>
      </c>
      <c r="B805" s="24">
        <v>0.17017685177564706</v>
      </c>
    </row>
    <row r="806" spans="1:2" x14ac:dyDescent="0.2">
      <c r="A806" s="23">
        <v>3.3322577294714923</v>
      </c>
      <c r="B806" s="24">
        <v>0.57302010114329194</v>
      </c>
    </row>
    <row r="807" spans="1:2" x14ac:dyDescent="0.2">
      <c r="A807" s="23">
        <v>2.277025925857731</v>
      </c>
      <c r="B807" s="24">
        <v>0.13896669898265032</v>
      </c>
    </row>
    <row r="808" spans="1:2" x14ac:dyDescent="0.2">
      <c r="A808" s="23">
        <v>3.4607371831257834</v>
      </c>
      <c r="B808" s="24">
        <v>0.59001398813219608</v>
      </c>
    </row>
    <row r="809" spans="1:2" x14ac:dyDescent="0.2">
      <c r="A809" s="23">
        <v>4.1098826454259951</v>
      </c>
      <c r="B809" s="24">
        <v>0.67237893978347585</v>
      </c>
    </row>
    <row r="810" spans="1:2" x14ac:dyDescent="0.2">
      <c r="A810" s="23">
        <v>4.0146044703361969</v>
      </c>
      <c r="B810" s="24">
        <v>0.66057296237432772</v>
      </c>
    </row>
    <row r="811" spans="1:2" x14ac:dyDescent="0.2">
      <c r="A811" s="23">
        <v>2.3190271040121893</v>
      </c>
      <c r="B811" s="24">
        <v>0.41822255786296686</v>
      </c>
    </row>
    <row r="812" spans="1:2" x14ac:dyDescent="0.2">
      <c r="A812" s="23">
        <v>2.1625429787223425</v>
      </c>
      <c r="B812" s="24">
        <v>0.38528307422395336</v>
      </c>
    </row>
    <row r="813" spans="1:2" x14ac:dyDescent="0.2">
      <c r="A813" s="23">
        <v>2.1958353012626683</v>
      </c>
      <c r="B813" s="24">
        <v>0.3928527158765453</v>
      </c>
    </row>
    <row r="814" spans="1:2" x14ac:dyDescent="0.2">
      <c r="A814" s="23">
        <v>1.9335234261337464</v>
      </c>
      <c r="B814" s="24">
        <v>0.24183974870884481</v>
      </c>
    </row>
    <row r="815" spans="1:2" x14ac:dyDescent="0.2">
      <c r="A815" s="23">
        <v>2.471512137046981</v>
      </c>
      <c r="B815" s="24">
        <v>0.44593194740092945</v>
      </c>
    </row>
    <row r="816" spans="1:2" x14ac:dyDescent="0.2">
      <c r="A816" s="23">
        <v>2.9237471220930296</v>
      </c>
      <c r="B816" s="24">
        <v>0.51649004280709776</v>
      </c>
    </row>
    <row r="817" spans="1:2" x14ac:dyDescent="0.2">
      <c r="A817" s="23">
        <v>2.2011972690958626</v>
      </c>
      <c r="B817" s="24">
        <v>0.39403742578008705</v>
      </c>
    </row>
    <row r="818" spans="1:2" x14ac:dyDescent="0.2">
      <c r="A818" s="23">
        <v>4.7540300093150876</v>
      </c>
      <c r="B818" s="24">
        <v>0.75049961173561663</v>
      </c>
    </row>
    <row r="819" spans="1:2" x14ac:dyDescent="0.2">
      <c r="A819" s="23">
        <v>1.9999750196241093</v>
      </c>
      <c r="B819" s="24">
        <v>0.20973335143363825</v>
      </c>
    </row>
    <row r="820" spans="1:2" x14ac:dyDescent="0.2">
      <c r="A820" s="23">
        <v>1.9149560236180778</v>
      </c>
      <c r="B820" s="24">
        <v>0.28894426828072917</v>
      </c>
    </row>
    <row r="821" spans="1:2" x14ac:dyDescent="0.2">
      <c r="A821" s="23">
        <v>3.93065613050122</v>
      </c>
      <c r="B821" s="24">
        <v>0.65010286243444182</v>
      </c>
    </row>
    <row r="822" spans="1:2" x14ac:dyDescent="0.2">
      <c r="A822" s="23">
        <v>4.2547725168914958</v>
      </c>
      <c r="B822" s="24">
        <v>0.69019021926437485</v>
      </c>
    </row>
    <row r="823" spans="1:2" x14ac:dyDescent="0.2">
      <c r="A823" s="23">
        <v>4.6245706964835911</v>
      </c>
      <c r="B823" s="24">
        <v>0.73499811945320626</v>
      </c>
    </row>
    <row r="824" spans="1:2" x14ac:dyDescent="0.2">
      <c r="A824" s="23">
        <v>3.0392628284657595</v>
      </c>
      <c r="B824" s="24">
        <v>0.53294646887890484</v>
      </c>
    </row>
    <row r="825" spans="1:2" x14ac:dyDescent="0.2">
      <c r="A825" s="23">
        <v>3.2913320368171939</v>
      </c>
      <c r="B825" s="24">
        <v>0.56754139832776784</v>
      </c>
    </row>
    <row r="826" spans="1:2" x14ac:dyDescent="0.2">
      <c r="A826" s="23">
        <v>2.9668075574863817</v>
      </c>
      <c r="B826" s="24">
        <v>0.52267685841951717</v>
      </c>
    </row>
    <row r="827" spans="1:2" x14ac:dyDescent="0.2">
      <c r="A827" s="23">
        <v>1.9321040687012094</v>
      </c>
      <c r="B827" s="24">
        <v>0.2428613237072357</v>
      </c>
    </row>
    <row r="828" spans="1:2" x14ac:dyDescent="0.2">
      <c r="A828" s="23">
        <v>2.2876497063565857</v>
      </c>
      <c r="B828" s="24">
        <v>0.41207988598991274</v>
      </c>
    </row>
    <row r="829" spans="1:2" x14ac:dyDescent="0.2">
      <c r="A829" s="23">
        <v>1.9108181061713407</v>
      </c>
      <c r="B829" s="24">
        <v>0.27898354974345052</v>
      </c>
    </row>
    <row r="830" spans="1:2" x14ac:dyDescent="0.2">
      <c r="A830" s="23">
        <v>3.1351647490348089</v>
      </c>
      <c r="B830" s="24">
        <v>0.54629795389045521</v>
      </c>
    </row>
    <row r="831" spans="1:2" x14ac:dyDescent="0.2">
      <c r="A831" s="23">
        <v>2.9997082047184147</v>
      </c>
      <c r="B831" s="24">
        <v>0.5273610288193501</v>
      </c>
    </row>
    <row r="832" spans="1:2" x14ac:dyDescent="0.2">
      <c r="A832" s="23">
        <v>3.4701357146110956</v>
      </c>
      <c r="B832" s="24">
        <v>0.59124579940411781</v>
      </c>
    </row>
    <row r="833" spans="1:2" x14ac:dyDescent="0.2">
      <c r="A833" s="23">
        <v>1.9815811895466746</v>
      </c>
      <c r="B833" s="24">
        <v>0.33202930318462365</v>
      </c>
    </row>
    <row r="834" spans="1:2" x14ac:dyDescent="0.2">
      <c r="A834" s="23">
        <v>2.2813043259035748</v>
      </c>
      <c r="B834" s="24">
        <v>0.4108145255825652</v>
      </c>
    </row>
    <row r="835" spans="1:2" x14ac:dyDescent="0.2">
      <c r="A835" s="23">
        <v>4.0273558850260267</v>
      </c>
      <c r="B835" s="24">
        <v>0.66215760729327811</v>
      </c>
    </row>
    <row r="836" spans="1:2" x14ac:dyDescent="0.2">
      <c r="A836" s="23">
        <v>2.0540872262682064</v>
      </c>
      <c r="B836" s="24">
        <v>0.3570022900030303</v>
      </c>
    </row>
    <row r="837" spans="1:2" x14ac:dyDescent="0.2">
      <c r="A837" s="23">
        <v>2.2523883963215341</v>
      </c>
      <c r="B837" s="24">
        <v>0.40493966318041369</v>
      </c>
    </row>
    <row r="838" spans="1:2" x14ac:dyDescent="0.2">
      <c r="A838" s="23">
        <v>2.1681983880577835</v>
      </c>
      <c r="B838" s="24">
        <v>0.38659663725199384</v>
      </c>
    </row>
    <row r="839" spans="1:2" x14ac:dyDescent="0.2">
      <c r="A839" s="23">
        <v>3.120819604883986</v>
      </c>
      <c r="B839" s="24">
        <v>0.54431691507285707</v>
      </c>
    </row>
    <row r="840" spans="1:2" x14ac:dyDescent="0.2">
      <c r="A840" s="23">
        <v>3.3618330770881162</v>
      </c>
      <c r="B840" s="24">
        <v>0.57695878662698696</v>
      </c>
    </row>
    <row r="841" spans="1:2" x14ac:dyDescent="0.2">
      <c r="A841" s="23">
        <v>1.9641088706503544</v>
      </c>
      <c r="B841" s="24">
        <v>0.32435826397668099</v>
      </c>
    </row>
    <row r="842" spans="1:2" x14ac:dyDescent="0.2">
      <c r="A842" s="23">
        <v>3.3779517698735906</v>
      </c>
      <c r="B842" s="24">
        <v>0.57909840273639712</v>
      </c>
    </row>
    <row r="843" spans="1:2" x14ac:dyDescent="0.2">
      <c r="A843" s="23">
        <v>5.1380514695800681</v>
      </c>
      <c r="B843" s="24">
        <v>0.7960327168870337</v>
      </c>
    </row>
    <row r="844" spans="1:2" x14ac:dyDescent="0.2">
      <c r="A844" s="23">
        <v>3.4885736921773112</v>
      </c>
      <c r="B844" s="24">
        <v>0.59365816182209163</v>
      </c>
    </row>
    <row r="845" spans="1:2" x14ac:dyDescent="0.2">
      <c r="A845" s="23">
        <v>4.1165677125448399</v>
      </c>
      <c r="B845" s="24">
        <v>0.67320438773739144</v>
      </c>
    </row>
    <row r="846" spans="1:2" x14ac:dyDescent="0.2">
      <c r="A846" s="23">
        <v>1.9238521772931174</v>
      </c>
      <c r="B846" s="24">
        <v>0.29932340866440604</v>
      </c>
    </row>
    <row r="847" spans="1:2" x14ac:dyDescent="0.2">
      <c r="A847" s="23">
        <v>2.1034641165068697</v>
      </c>
      <c r="B847" s="24">
        <v>0.17819284140772529</v>
      </c>
    </row>
    <row r="848" spans="1:2" x14ac:dyDescent="0.2">
      <c r="A848" s="23">
        <v>2.7428616587451482</v>
      </c>
      <c r="B848" s="24">
        <v>0.48968503107579592</v>
      </c>
    </row>
    <row r="849" spans="1:2" x14ac:dyDescent="0.2">
      <c r="A849" s="23">
        <v>2.564956058112299</v>
      </c>
      <c r="B849" s="24">
        <v>0.46162372646599592</v>
      </c>
    </row>
    <row r="850" spans="1:2" x14ac:dyDescent="0.2">
      <c r="A850" s="23">
        <v>2.0341335885824674</v>
      </c>
      <c r="B850" s="24">
        <v>0.35086528916685261</v>
      </c>
    </row>
    <row r="851" spans="1:2" x14ac:dyDescent="0.2">
      <c r="A851" s="23">
        <v>2.5055216412911165</v>
      </c>
      <c r="B851" s="24">
        <v>0.45173569145887499</v>
      </c>
    </row>
    <row r="852" spans="1:2" x14ac:dyDescent="0.2">
      <c r="A852" s="23">
        <v>2.7106515061664198</v>
      </c>
      <c r="B852" s="24">
        <v>0.48474870958015065</v>
      </c>
    </row>
    <row r="853" spans="1:2" x14ac:dyDescent="0.2">
      <c r="A853" s="23">
        <v>3.1820218452459237</v>
      </c>
      <c r="B853" s="24">
        <v>0.55273218303928928</v>
      </c>
    </row>
    <row r="854" spans="1:2" x14ac:dyDescent="0.2">
      <c r="A854" s="23">
        <v>1.9222309901999419</v>
      </c>
      <c r="B854" s="24">
        <v>0.25114760752440446</v>
      </c>
    </row>
    <row r="855" spans="1:2" x14ac:dyDescent="0.2">
      <c r="A855" s="23">
        <v>5.3014866027951495</v>
      </c>
      <c r="B855" s="24">
        <v>0.81523729986972115</v>
      </c>
    </row>
    <row r="856" spans="1:2" x14ac:dyDescent="0.2">
      <c r="A856" s="23">
        <v>2.1019926840020711</v>
      </c>
      <c r="B856" s="24">
        <v>0.37034546367160542</v>
      </c>
    </row>
    <row r="857" spans="1:2" x14ac:dyDescent="0.2">
      <c r="A857" s="23">
        <v>2.0949684540034341</v>
      </c>
      <c r="B857" s="24">
        <v>0.36848925321178977</v>
      </c>
    </row>
    <row r="858" spans="1:2" x14ac:dyDescent="0.2">
      <c r="A858" s="23">
        <v>3.450966906764751</v>
      </c>
      <c r="B858" s="24">
        <v>0.58873189895343958</v>
      </c>
    </row>
    <row r="859" spans="1:2" x14ac:dyDescent="0.2">
      <c r="A859" s="23">
        <v>2.0688166289614625</v>
      </c>
      <c r="B859" s="24">
        <v>0.36128974660415591</v>
      </c>
    </row>
    <row r="860" spans="1:2" x14ac:dyDescent="0.2">
      <c r="A860" s="23">
        <v>2.8752434659421859</v>
      </c>
      <c r="B860" s="24">
        <v>0.50943909192597425</v>
      </c>
    </row>
    <row r="861" spans="1:2" x14ac:dyDescent="0.2">
      <c r="A861" s="23">
        <v>3.9243534647038301</v>
      </c>
      <c r="B861" s="24">
        <v>0.64931405959553101</v>
      </c>
    </row>
    <row r="862" spans="1:2" x14ac:dyDescent="0.2">
      <c r="A862" s="23">
        <v>1.9567571601431524</v>
      </c>
      <c r="B862" s="24">
        <v>0.32077571676639621</v>
      </c>
    </row>
    <row r="863" spans="1:2" x14ac:dyDescent="0.2">
      <c r="A863" s="23">
        <v>2.8273290928800487</v>
      </c>
      <c r="B863" s="24">
        <v>0.50238084071967215</v>
      </c>
    </row>
    <row r="864" spans="1:2" x14ac:dyDescent="0.2">
      <c r="A864" s="23">
        <v>1.9440920994443938</v>
      </c>
      <c r="B864" s="24">
        <v>0.31388540532181053</v>
      </c>
    </row>
    <row r="865" spans="1:2" x14ac:dyDescent="0.2">
      <c r="A865" s="23">
        <v>2.1511603975336961</v>
      </c>
      <c r="B865" s="24">
        <v>0.38260163443859074</v>
      </c>
    </row>
    <row r="866" spans="1:2" x14ac:dyDescent="0.2">
      <c r="A866" s="23">
        <v>2.4191435683887241</v>
      </c>
      <c r="B866" s="24">
        <v>0.43675619382332109</v>
      </c>
    </row>
    <row r="867" spans="1:2" x14ac:dyDescent="0.2">
      <c r="A867" s="23">
        <v>3.3636885482477843</v>
      </c>
      <c r="B867" s="24">
        <v>0.57720533177252387</v>
      </c>
    </row>
    <row r="868" spans="1:2" x14ac:dyDescent="0.2">
      <c r="A868" s="23">
        <v>2.0260980443607659</v>
      </c>
      <c r="B868" s="24">
        <v>0.2006553348966903</v>
      </c>
    </row>
    <row r="869" spans="1:2" x14ac:dyDescent="0.2">
      <c r="A869" s="23">
        <v>2.7203754391052146</v>
      </c>
      <c r="B869" s="24">
        <v>0.48624488884465206</v>
      </c>
    </row>
    <row r="870" spans="1:2" x14ac:dyDescent="0.2">
      <c r="A870" s="23">
        <v>4.6845292939467109</v>
      </c>
      <c r="B870" s="24">
        <v>0.74218818058379143</v>
      </c>
    </row>
    <row r="871" spans="1:2" x14ac:dyDescent="0.2">
      <c r="A871" s="23">
        <v>3.2634786379565073</v>
      </c>
      <c r="B871" s="24">
        <v>0.563792935202865</v>
      </c>
    </row>
    <row r="872" spans="1:2" x14ac:dyDescent="0.2">
      <c r="A872" s="23">
        <v>2.1837393012630812</v>
      </c>
      <c r="B872" s="24">
        <v>0.39014650555361002</v>
      </c>
    </row>
    <row r="873" spans="1:2" x14ac:dyDescent="0.2">
      <c r="A873" s="23">
        <v>1.9783229975884145</v>
      </c>
      <c r="B873" s="24">
        <v>0.3306733565133062</v>
      </c>
    </row>
    <row r="874" spans="1:2" x14ac:dyDescent="0.2">
      <c r="A874" s="23">
        <v>2.4474783814410852</v>
      </c>
      <c r="B874" s="24">
        <v>0.44175902607717726</v>
      </c>
    </row>
    <row r="875" spans="1:2" x14ac:dyDescent="0.2">
      <c r="A875" s="23">
        <v>3.4247943368126319</v>
      </c>
      <c r="B875" s="24">
        <v>0.58528948199061559</v>
      </c>
    </row>
    <row r="876" spans="1:2" x14ac:dyDescent="0.2">
      <c r="A876" s="23">
        <v>4.1883848017496845</v>
      </c>
      <c r="B876" s="24">
        <v>0.68204935770691733</v>
      </c>
    </row>
    <row r="877" spans="1:2" x14ac:dyDescent="0.2">
      <c r="A877" s="23">
        <v>1.9246886288657747</v>
      </c>
      <c r="B877" s="24">
        <v>0.30008585867542803</v>
      </c>
    </row>
    <row r="878" spans="1:2" x14ac:dyDescent="0.2">
      <c r="A878" s="23">
        <v>2.9207180960541059</v>
      </c>
      <c r="B878" s="24">
        <v>0.51605233039302933</v>
      </c>
    </row>
    <row r="879" spans="1:2" x14ac:dyDescent="0.2">
      <c r="A879" s="23">
        <v>5.0351445265520027</v>
      </c>
      <c r="B879" s="24">
        <v>0.78389078486929187</v>
      </c>
    </row>
    <row r="880" spans="1:2" x14ac:dyDescent="0.2">
      <c r="A880" s="23">
        <v>1.9694384282333843</v>
      </c>
      <c r="B880" s="24">
        <v>0.32681002584206209</v>
      </c>
    </row>
    <row r="881" spans="1:2" x14ac:dyDescent="0.2">
      <c r="A881" s="23">
        <v>2.9564383429181929</v>
      </c>
      <c r="B881" s="24">
        <v>0.52119300223674392</v>
      </c>
    </row>
    <row r="882" spans="1:2" x14ac:dyDescent="0.2">
      <c r="A882" s="23">
        <v>1.916115503724368</v>
      </c>
      <c r="B882" s="24">
        <v>0.29067469108476129</v>
      </c>
    </row>
    <row r="883" spans="1:2" x14ac:dyDescent="0.2">
      <c r="A883" s="23">
        <v>2.3340269858536038</v>
      </c>
      <c r="B883" s="24">
        <v>0.4210965144268739</v>
      </c>
    </row>
    <row r="884" spans="1:2" x14ac:dyDescent="0.2">
      <c r="A884" s="23">
        <v>2.6447690962434076</v>
      </c>
      <c r="B884" s="24">
        <v>0.47446581589435816</v>
      </c>
    </row>
    <row r="885" spans="1:2" x14ac:dyDescent="0.2">
      <c r="A885" s="23">
        <v>2.4454017323200743</v>
      </c>
      <c r="B885" s="24">
        <v>0.44139550868214072</v>
      </c>
    </row>
    <row r="886" spans="1:2" x14ac:dyDescent="0.2">
      <c r="A886" s="23">
        <v>2.5707395714083039</v>
      </c>
      <c r="B886" s="24">
        <v>0.4625701619370377</v>
      </c>
    </row>
    <row r="887" spans="1:2" x14ac:dyDescent="0.2">
      <c r="A887" s="23">
        <v>2.2547796601082446</v>
      </c>
      <c r="B887" s="24">
        <v>0.40543259730443459</v>
      </c>
    </row>
    <row r="888" spans="1:2" x14ac:dyDescent="0.2">
      <c r="A888" s="23">
        <v>1.9488145674330992</v>
      </c>
      <c r="B888" s="24">
        <v>0.23234210893884344</v>
      </c>
    </row>
    <row r="889" spans="1:2" x14ac:dyDescent="0.2">
      <c r="A889" s="23">
        <v>3.7505778402665926</v>
      </c>
      <c r="B889" s="24">
        <v>0.6274011209889705</v>
      </c>
    </row>
    <row r="890" spans="1:2" x14ac:dyDescent="0.2">
      <c r="A890" s="23">
        <v>3.7296395624534822</v>
      </c>
      <c r="B890" s="24">
        <v>0.62473787613334131</v>
      </c>
    </row>
    <row r="891" spans="1:2" x14ac:dyDescent="0.2">
      <c r="A891" s="23">
        <v>2.8903527038291239</v>
      </c>
      <c r="B891" s="24">
        <v>0.5116452727690346</v>
      </c>
    </row>
    <row r="892" spans="1:2" x14ac:dyDescent="0.2">
      <c r="A892" s="23">
        <v>2.4171993625657113</v>
      </c>
      <c r="B892" s="24">
        <v>0.4364094296975487</v>
      </c>
    </row>
    <row r="893" spans="1:2" x14ac:dyDescent="0.2">
      <c r="A893" s="23">
        <v>2.7984709534389784</v>
      </c>
      <c r="B893" s="24">
        <v>0.4980815004542809</v>
      </c>
    </row>
    <row r="894" spans="1:2" x14ac:dyDescent="0.2">
      <c r="A894" s="23">
        <v>5.3638700217613966</v>
      </c>
      <c r="B894" s="24">
        <v>0.82254394118716556</v>
      </c>
    </row>
    <row r="895" spans="1:2" x14ac:dyDescent="0.2">
      <c r="A895" s="23">
        <v>2.3621509167454788</v>
      </c>
      <c r="B895" s="24">
        <v>0.42638625363709798</v>
      </c>
    </row>
    <row r="896" spans="1:2" x14ac:dyDescent="0.2">
      <c r="A896" s="23">
        <v>2.3557589387130546</v>
      </c>
      <c r="B896" s="24">
        <v>0.42519479860669601</v>
      </c>
    </row>
    <row r="897" spans="1:2" x14ac:dyDescent="0.2">
      <c r="A897" s="23">
        <v>3.3326586376158973</v>
      </c>
      <c r="B897" s="24">
        <v>0.57307360508648753</v>
      </c>
    </row>
    <row r="898" spans="1:2" x14ac:dyDescent="0.2">
      <c r="A898" s="23">
        <v>3.7493925818675886</v>
      </c>
      <c r="B898" s="24">
        <v>0.62725050207222732</v>
      </c>
    </row>
    <row r="899" spans="1:2" x14ac:dyDescent="0.2">
      <c r="A899" s="23">
        <v>3.7151306089734679</v>
      </c>
      <c r="B899" s="24">
        <v>0.62288929417566274</v>
      </c>
    </row>
    <row r="900" spans="1:2" x14ac:dyDescent="0.2">
      <c r="A900" s="23">
        <v>2.3108488899758068</v>
      </c>
      <c r="B900" s="24">
        <v>0.41663912399841357</v>
      </c>
    </row>
    <row r="901" spans="1:2" x14ac:dyDescent="0.2">
      <c r="A901" s="23">
        <v>2.0461444819356776</v>
      </c>
      <c r="B901" s="24">
        <v>0.19431479295514983</v>
      </c>
    </row>
    <row r="902" spans="1:2" x14ac:dyDescent="0.2">
      <c r="A902" s="23">
        <v>2.5305358240462175</v>
      </c>
      <c r="B902" s="24">
        <v>0.45593456979047009</v>
      </c>
    </row>
    <row r="903" spans="1:2" x14ac:dyDescent="0.2">
      <c r="A903" s="23">
        <v>1.9752449027169012</v>
      </c>
      <c r="B903" s="24">
        <v>0.32936372830944732</v>
      </c>
    </row>
    <row r="904" spans="1:2" x14ac:dyDescent="0.2">
      <c r="A904" s="23">
        <v>2.1007139932770964</v>
      </c>
      <c r="B904" s="24">
        <v>0.37000978419197084</v>
      </c>
    </row>
    <row r="905" spans="1:2" x14ac:dyDescent="0.2">
      <c r="A905" s="23">
        <v>3.757492936224593</v>
      </c>
      <c r="B905" s="24">
        <v>0.6282795379336531</v>
      </c>
    </row>
    <row r="906" spans="1:2" x14ac:dyDescent="0.2">
      <c r="A906" s="23">
        <v>3.5711882296575448</v>
      </c>
      <c r="B906" s="24">
        <v>0.60440188515535043</v>
      </c>
    </row>
    <row r="907" spans="1:2" x14ac:dyDescent="0.2">
      <c r="A907" s="23">
        <v>3.6522312582899503</v>
      </c>
      <c r="B907" s="24">
        <v>0.61484472588240968</v>
      </c>
    </row>
    <row r="908" spans="1:2" x14ac:dyDescent="0.2">
      <c r="A908" s="23">
        <v>3.6609860313452232</v>
      </c>
      <c r="B908" s="24">
        <v>0.61596747887898773</v>
      </c>
    </row>
    <row r="909" spans="1:2" x14ac:dyDescent="0.2">
      <c r="A909" s="23">
        <v>2.0266222541903223</v>
      </c>
      <c r="B909" s="24">
        <v>0.34843994725809174</v>
      </c>
    </row>
    <row r="910" spans="1:2" x14ac:dyDescent="0.2">
      <c r="A910" s="23">
        <v>3.125519882654292</v>
      </c>
      <c r="B910" s="24">
        <v>0.54496661112040412</v>
      </c>
    </row>
    <row r="911" spans="1:2" x14ac:dyDescent="0.2">
      <c r="A911" s="23">
        <v>1.9110015501535249</v>
      </c>
      <c r="B911" s="24">
        <v>0.27983110148321361</v>
      </c>
    </row>
    <row r="912" spans="1:2" x14ac:dyDescent="0.2">
      <c r="A912" s="23">
        <v>5.2084490446494254</v>
      </c>
      <c r="B912" s="24">
        <v>0.80431627751052726</v>
      </c>
    </row>
    <row r="913" spans="1:2" x14ac:dyDescent="0.2">
      <c r="A913" s="23">
        <v>4.3980908239892909</v>
      </c>
      <c r="B913" s="24">
        <v>0.70765795927379338</v>
      </c>
    </row>
    <row r="914" spans="1:2" x14ac:dyDescent="0.2">
      <c r="A914" s="23">
        <v>1.9498525010088785</v>
      </c>
      <c r="B914" s="24">
        <v>0.31715181473173004</v>
      </c>
    </row>
    <row r="915" spans="1:2" x14ac:dyDescent="0.2">
      <c r="A915" s="23">
        <v>1.9196829629703251</v>
      </c>
      <c r="B915" s="24">
        <v>0.2951133251141827</v>
      </c>
    </row>
    <row r="916" spans="1:2" x14ac:dyDescent="0.2">
      <c r="A916" s="23">
        <v>3.5433617940780668</v>
      </c>
      <c r="B916" s="24">
        <v>0.60079473061344268</v>
      </c>
    </row>
    <row r="917" spans="1:2" x14ac:dyDescent="0.2">
      <c r="A917" s="23">
        <v>1.9480248160182709</v>
      </c>
      <c r="B917" s="24">
        <v>0.2327812491223111</v>
      </c>
    </row>
    <row r="918" spans="1:2" x14ac:dyDescent="0.2">
      <c r="A918" s="23">
        <v>2.5773334819858085</v>
      </c>
      <c r="B918" s="24">
        <v>0.46364601675020961</v>
      </c>
    </row>
    <row r="919" spans="1:2" x14ac:dyDescent="0.2">
      <c r="A919" s="23">
        <v>1.9831135974746037</v>
      </c>
      <c r="B919" s="24">
        <v>0.21626651620746049</v>
      </c>
    </row>
    <row r="920" spans="1:2" x14ac:dyDescent="0.2">
      <c r="A920" s="23">
        <v>2.0420100596031663</v>
      </c>
      <c r="B920" s="24">
        <v>0.35333764694002467</v>
      </c>
    </row>
    <row r="921" spans="1:2" x14ac:dyDescent="0.2">
      <c r="A921" s="23">
        <v>2.5666846379285335</v>
      </c>
      <c r="B921" s="24">
        <v>0.46190687476840786</v>
      </c>
    </row>
    <row r="922" spans="1:2" x14ac:dyDescent="0.2">
      <c r="A922" s="23">
        <v>3.0979875147694416</v>
      </c>
      <c r="B922" s="24">
        <v>0.54115252382500356</v>
      </c>
    </row>
    <row r="923" spans="1:2" x14ac:dyDescent="0.2">
      <c r="A923" s="23">
        <v>2.367381103059746</v>
      </c>
      <c r="B923" s="24">
        <v>0.42735662287207388</v>
      </c>
    </row>
    <row r="924" spans="1:2" x14ac:dyDescent="0.2">
      <c r="A924" s="23">
        <v>3.7459428469697795</v>
      </c>
      <c r="B924" s="24">
        <v>0.6268120254993983</v>
      </c>
    </row>
    <row r="925" spans="1:2" x14ac:dyDescent="0.2">
      <c r="A925" s="23">
        <v>4.3059068682870736</v>
      </c>
      <c r="B925" s="24">
        <v>0.69643869409575254</v>
      </c>
    </row>
    <row r="926" spans="1:2" x14ac:dyDescent="0.2">
      <c r="A926" s="23">
        <v>1.9105137207175924</v>
      </c>
      <c r="B926" s="24">
        <v>0.27190462398628462</v>
      </c>
    </row>
    <row r="927" spans="1:2" x14ac:dyDescent="0.2">
      <c r="A927" s="23">
        <v>1.9116809027428032</v>
      </c>
      <c r="B927" s="24">
        <v>0.28220015895616229</v>
      </c>
    </row>
    <row r="928" spans="1:2" x14ac:dyDescent="0.2">
      <c r="A928" s="23">
        <v>4.3624725768003403</v>
      </c>
      <c r="B928" s="24">
        <v>0.70332973918868746</v>
      </c>
    </row>
    <row r="929" spans="1:2" x14ac:dyDescent="0.2">
      <c r="A929" s="23">
        <v>2.53665067403902</v>
      </c>
      <c r="B929" s="24">
        <v>0.45695254923238671</v>
      </c>
    </row>
    <row r="930" spans="1:2" x14ac:dyDescent="0.2">
      <c r="A930" s="23">
        <v>3.5762831926748588</v>
      </c>
      <c r="B930" s="24">
        <v>0.60506111827046472</v>
      </c>
    </row>
    <row r="931" spans="1:2" x14ac:dyDescent="0.2">
      <c r="A931" s="23">
        <v>2.7739855641958995</v>
      </c>
      <c r="B931" s="24">
        <v>0.49440322339996629</v>
      </c>
    </row>
    <row r="932" spans="1:2" x14ac:dyDescent="0.2">
      <c r="A932" s="23">
        <v>2.7896822837634505</v>
      </c>
      <c r="B932" s="24">
        <v>0.49676452905197466</v>
      </c>
    </row>
    <row r="933" spans="1:2" x14ac:dyDescent="0.2">
      <c r="A933" s="23">
        <v>1.9103882986627208</v>
      </c>
      <c r="B933" s="24">
        <v>0.27356268762304742</v>
      </c>
    </row>
    <row r="934" spans="1:2" x14ac:dyDescent="0.2">
      <c r="A934" s="23">
        <v>4.5804549642658356</v>
      </c>
      <c r="B934" s="24">
        <v>0.72969567274115843</v>
      </c>
    </row>
    <row r="935" spans="1:2" x14ac:dyDescent="0.2">
      <c r="A935" s="23">
        <v>2.7032052895430234</v>
      </c>
      <c r="B935" s="24">
        <v>0.48359941114932103</v>
      </c>
    </row>
    <row r="936" spans="1:2" x14ac:dyDescent="0.2">
      <c r="A936" s="23">
        <v>2.7757676656384112</v>
      </c>
      <c r="B936" s="24">
        <v>0.49467191128494004</v>
      </c>
    </row>
    <row r="937" spans="1:2" x14ac:dyDescent="0.2">
      <c r="A937" s="23">
        <v>2.0030072615981545</v>
      </c>
      <c r="B937" s="24">
        <v>0.20862173692989547</v>
      </c>
    </row>
    <row r="938" spans="1:2" x14ac:dyDescent="0.2">
      <c r="A938" s="23">
        <v>3.3060445374276242</v>
      </c>
      <c r="B938" s="24">
        <v>0.56951485112292455</v>
      </c>
    </row>
    <row r="939" spans="1:2" x14ac:dyDescent="0.2">
      <c r="A939" s="23">
        <v>5.2669482200859186</v>
      </c>
      <c r="B939" s="24">
        <v>0.81118651067282577</v>
      </c>
    </row>
    <row r="940" spans="1:2" x14ac:dyDescent="0.2">
      <c r="A940" s="23">
        <v>4.5021171074128636</v>
      </c>
      <c r="B940" s="24">
        <v>0.72025315286023928</v>
      </c>
    </row>
    <row r="941" spans="1:2" x14ac:dyDescent="0.2">
      <c r="A941" s="23">
        <v>2.6035738450475128</v>
      </c>
      <c r="B941" s="24">
        <v>0.46789471057897453</v>
      </c>
    </row>
    <row r="942" spans="1:2" x14ac:dyDescent="0.2">
      <c r="A942" s="23">
        <v>3.4360753241609974</v>
      </c>
      <c r="B942" s="24">
        <v>0.58677468059327142</v>
      </c>
    </row>
    <row r="943" spans="1:2" x14ac:dyDescent="0.2">
      <c r="A943" s="23">
        <v>1.9111452145548347</v>
      </c>
      <c r="B943" s="24">
        <v>0.26851219283027156</v>
      </c>
    </row>
    <row r="944" spans="1:2" x14ac:dyDescent="0.2">
      <c r="A944" s="23">
        <v>2.3695554200954256</v>
      </c>
      <c r="B944" s="24">
        <v>0.42775884956966448</v>
      </c>
    </row>
    <row r="945" spans="1:2" x14ac:dyDescent="0.2">
      <c r="A945" s="23">
        <v>3.5671741399031984</v>
      </c>
      <c r="B945" s="24">
        <v>0.6038822398504291</v>
      </c>
    </row>
    <row r="946" spans="1:2" x14ac:dyDescent="0.2">
      <c r="A946" s="23">
        <v>4.5930460590557463</v>
      </c>
      <c r="B946" s="24">
        <v>0.73121012840935007</v>
      </c>
    </row>
    <row r="947" spans="1:2" x14ac:dyDescent="0.2">
      <c r="A947" s="23">
        <v>1.9153990790853066</v>
      </c>
      <c r="B947" s="24">
        <v>0.28962868898353406</v>
      </c>
    </row>
    <row r="948" spans="1:2" x14ac:dyDescent="0.2">
      <c r="A948" s="23">
        <v>1.9470455789574435</v>
      </c>
      <c r="B948" s="24">
        <v>0.31559137433730705</v>
      </c>
    </row>
    <row r="949" spans="1:2" x14ac:dyDescent="0.2">
      <c r="A949" s="23">
        <v>1.9195974545550774</v>
      </c>
      <c r="B949" s="24">
        <v>0.25390532296288076</v>
      </c>
    </row>
    <row r="950" spans="1:2" x14ac:dyDescent="0.2">
      <c r="A950" s="23">
        <v>2.1470918113499247</v>
      </c>
      <c r="B950" s="24">
        <v>0.38163041283089971</v>
      </c>
    </row>
    <row r="951" spans="1:2" x14ac:dyDescent="0.2">
      <c r="A951" s="23">
        <v>2.2752231138985746</v>
      </c>
      <c r="B951" s="24">
        <v>0.40959406886153754</v>
      </c>
    </row>
    <row r="952" spans="1:2" x14ac:dyDescent="0.2">
      <c r="A952" s="23">
        <v>2.946465598737805</v>
      </c>
      <c r="B952" s="24">
        <v>0.51976235852491304</v>
      </c>
    </row>
    <row r="953" spans="1:2" x14ac:dyDescent="0.2">
      <c r="A953" s="23">
        <v>2.3954624425570517</v>
      </c>
      <c r="B953" s="24">
        <v>0.43250015192621688</v>
      </c>
    </row>
    <row r="954" spans="1:2" x14ac:dyDescent="0.2">
      <c r="A954" s="23">
        <v>2.5275197024757068</v>
      </c>
      <c r="B954" s="24">
        <v>0.45543125718140898</v>
      </c>
    </row>
    <row r="955" spans="1:2" x14ac:dyDescent="0.2">
      <c r="A955" s="23">
        <v>2.2316050354085872</v>
      </c>
      <c r="B955" s="24">
        <v>0.40059710273743476</v>
      </c>
    </row>
    <row r="956" spans="1:2" x14ac:dyDescent="0.2">
      <c r="A956" s="23">
        <v>3.0112163432544508</v>
      </c>
      <c r="B956" s="24">
        <v>0.52899113422198596</v>
      </c>
    </row>
    <row r="957" spans="1:2" x14ac:dyDescent="0.2">
      <c r="A957" s="23">
        <v>3.9203042953778993</v>
      </c>
      <c r="B957" s="24">
        <v>0.64880708302018286</v>
      </c>
    </row>
    <row r="958" spans="1:2" x14ac:dyDescent="0.2">
      <c r="A958" s="23">
        <v>4.5501415745093627</v>
      </c>
      <c r="B958" s="24">
        <v>0.72604596721969406</v>
      </c>
    </row>
    <row r="959" spans="1:2" x14ac:dyDescent="0.2">
      <c r="A959" s="23">
        <v>2.4816200720507737</v>
      </c>
      <c r="B959" s="24">
        <v>0.44766884401186563</v>
      </c>
    </row>
    <row r="960" spans="1:2" x14ac:dyDescent="0.2">
      <c r="A960" s="23">
        <v>2.7619017475781034</v>
      </c>
      <c r="B960" s="24">
        <v>0.49257720511464587</v>
      </c>
    </row>
    <row r="961" spans="1:2" x14ac:dyDescent="0.2">
      <c r="A961" s="23">
        <v>3.8383155213592715</v>
      </c>
      <c r="B961" s="24">
        <v>0.63850564469736359</v>
      </c>
    </row>
    <row r="962" spans="1:2" x14ac:dyDescent="0.2">
      <c r="A962" s="23">
        <v>2.0593346863663369</v>
      </c>
      <c r="B962" s="24">
        <v>0.35855126069301396</v>
      </c>
    </row>
    <row r="963" spans="1:2" x14ac:dyDescent="0.2">
      <c r="A963" s="23">
        <v>3.1500103963012149</v>
      </c>
      <c r="B963" s="24">
        <v>0.54834248357272508</v>
      </c>
    </row>
    <row r="964" spans="1:2" x14ac:dyDescent="0.2">
      <c r="A964" s="23">
        <v>3.364697270644851</v>
      </c>
      <c r="B964" s="24">
        <v>0.57733933826591144</v>
      </c>
    </row>
    <row r="965" spans="1:2" x14ac:dyDescent="0.2">
      <c r="A965" s="23">
        <v>1.9294433964075535</v>
      </c>
      <c r="B965" s="24">
        <v>0.3040543794015011</v>
      </c>
    </row>
    <row r="966" spans="1:2" x14ac:dyDescent="0.2">
      <c r="A966" s="23">
        <v>4.3751951719311792</v>
      </c>
      <c r="B966" s="24">
        <v>0.70487670034459726</v>
      </c>
    </row>
    <row r="967" spans="1:2" x14ac:dyDescent="0.2">
      <c r="A967" s="23">
        <v>4.3877889610716965</v>
      </c>
      <c r="B967" s="24">
        <v>0.70640695646368057</v>
      </c>
    </row>
    <row r="968" spans="1:2" x14ac:dyDescent="0.2">
      <c r="A968" s="23">
        <v>2.1509612917529841</v>
      </c>
      <c r="B968" s="24">
        <v>0.3825542659003186</v>
      </c>
    </row>
    <row r="969" spans="1:2" x14ac:dyDescent="0.2">
      <c r="A969" s="23">
        <v>1.9413155998767186</v>
      </c>
      <c r="B969" s="24">
        <v>0.31221394306915795</v>
      </c>
    </row>
    <row r="970" spans="1:2" x14ac:dyDescent="0.2">
      <c r="A970" s="23">
        <v>2.7262558279786364</v>
      </c>
      <c r="B970" s="24">
        <v>0.48714715116245588</v>
      </c>
    </row>
    <row r="971" spans="1:2" x14ac:dyDescent="0.2">
      <c r="A971" s="23">
        <v>3.7890682165737948</v>
      </c>
      <c r="B971" s="24">
        <v>0.63228341419038381</v>
      </c>
    </row>
    <row r="972" spans="1:2" x14ac:dyDescent="0.2">
      <c r="A972" s="23">
        <v>1.982694655220586</v>
      </c>
      <c r="B972" s="24">
        <v>0.33248592633936042</v>
      </c>
    </row>
    <row r="973" spans="1:2" x14ac:dyDescent="0.2">
      <c r="A973" s="23">
        <v>2.6916963841352994</v>
      </c>
      <c r="B973" s="24">
        <v>0.48181680893085521</v>
      </c>
    </row>
    <row r="974" spans="1:2" x14ac:dyDescent="0.2">
      <c r="A974" s="23">
        <v>2.8806336543190185</v>
      </c>
      <c r="B974" s="24">
        <v>0.51022718246026078</v>
      </c>
    </row>
    <row r="975" spans="1:2" x14ac:dyDescent="0.2">
      <c r="A975" s="23">
        <v>2.9918865376458834</v>
      </c>
      <c r="B975" s="24">
        <v>0.52625067106295309</v>
      </c>
    </row>
    <row r="976" spans="1:2" x14ac:dyDescent="0.2">
      <c r="A976" s="23">
        <v>4.6044122488207746</v>
      </c>
      <c r="B976" s="24">
        <v>0.73257650675462527</v>
      </c>
    </row>
    <row r="977" spans="1:2" x14ac:dyDescent="0.2">
      <c r="A977" s="23">
        <v>1.9178476818236607</v>
      </c>
      <c r="B977" s="24">
        <v>0.29296231680696161</v>
      </c>
    </row>
    <row r="978" spans="1:2" x14ac:dyDescent="0.2">
      <c r="A978" s="23">
        <v>1.9472266080316929</v>
      </c>
      <c r="B978" s="24">
        <v>0.2332296599578651</v>
      </c>
    </row>
    <row r="979" spans="1:2" x14ac:dyDescent="0.2">
      <c r="A979" s="23">
        <v>2.1528141494633726</v>
      </c>
      <c r="B979" s="24">
        <v>0.16592894324978649</v>
      </c>
    </row>
    <row r="980" spans="1:2" x14ac:dyDescent="0.2">
      <c r="A980" s="23">
        <v>2.2910731159581768</v>
      </c>
      <c r="B980" s="24">
        <v>0.41275920102259139</v>
      </c>
    </row>
    <row r="981" spans="1:2" x14ac:dyDescent="0.2">
      <c r="A981" s="23">
        <v>2.7932499867239864</v>
      </c>
      <c r="B981" s="24">
        <v>0.49729958369793392</v>
      </c>
    </row>
    <row r="982" spans="1:2" x14ac:dyDescent="0.2">
      <c r="A982" s="23">
        <v>2.7077296052596416</v>
      </c>
      <c r="B982" s="24">
        <v>0.48429809778018457</v>
      </c>
    </row>
    <row r="983" spans="1:2" x14ac:dyDescent="0.2">
      <c r="A983" s="23">
        <v>3.2032401468090721</v>
      </c>
      <c r="B983" s="24">
        <v>0.555628077113965</v>
      </c>
    </row>
    <row r="984" spans="1:2" x14ac:dyDescent="0.2">
      <c r="A984" s="23">
        <v>1.9561666987745394</v>
      </c>
      <c r="B984" s="24">
        <v>0.22844689537798382</v>
      </c>
    </row>
    <row r="985" spans="1:2" x14ac:dyDescent="0.2">
      <c r="A985" s="23">
        <v>2.8957938164296508</v>
      </c>
      <c r="B985" s="24">
        <v>0.51243755915813682</v>
      </c>
    </row>
    <row r="986" spans="1:2" x14ac:dyDescent="0.2">
      <c r="A986" s="23">
        <v>2.7405345866538808</v>
      </c>
      <c r="B986" s="24">
        <v>0.48933026456488804</v>
      </c>
    </row>
    <row r="987" spans="1:2" x14ac:dyDescent="0.2">
      <c r="A987" s="23">
        <v>2.4062907618141391</v>
      </c>
      <c r="B987" s="24">
        <v>0.43445509751627487</v>
      </c>
    </row>
    <row r="988" spans="1:2" x14ac:dyDescent="0.2">
      <c r="A988" s="23">
        <v>1.920150760370489</v>
      </c>
      <c r="B988" s="24">
        <v>0.25329641596849478</v>
      </c>
    </row>
    <row r="989" spans="1:2" x14ac:dyDescent="0.2">
      <c r="A989" s="23">
        <v>2.5918864485519957</v>
      </c>
      <c r="B989" s="24">
        <v>0.46600868293898584</v>
      </c>
    </row>
    <row r="990" spans="1:2" x14ac:dyDescent="0.2">
      <c r="A990" s="23">
        <v>2.9861726628802061</v>
      </c>
      <c r="B990" s="24">
        <v>0.52543827121426634</v>
      </c>
    </row>
    <row r="991" spans="1:2" x14ac:dyDescent="0.2">
      <c r="A991" s="23">
        <v>2.0443676257021033</v>
      </c>
      <c r="B991" s="24">
        <v>0.1948588371652179</v>
      </c>
    </row>
    <row r="992" spans="1:2" x14ac:dyDescent="0.2">
      <c r="A992" s="23">
        <v>2.6161271191505118</v>
      </c>
      <c r="B992" s="24">
        <v>0.46990950399690995</v>
      </c>
    </row>
    <row r="993" spans="1:2" x14ac:dyDescent="0.2">
      <c r="A993" s="23">
        <v>2.8627480282161626</v>
      </c>
      <c r="B993" s="24">
        <v>0.50760764011534421</v>
      </c>
    </row>
    <row r="994" spans="1:2" x14ac:dyDescent="0.2">
      <c r="A994" s="23">
        <v>4.0180726869457963</v>
      </c>
      <c r="B994" s="24">
        <v>0.66100411006809434</v>
      </c>
    </row>
    <row r="995" spans="1:2" x14ac:dyDescent="0.2">
      <c r="A995" s="23">
        <v>2.913104096114997</v>
      </c>
      <c r="B995" s="24">
        <v>0.51495055818545954</v>
      </c>
    </row>
    <row r="996" spans="1:2" x14ac:dyDescent="0.2">
      <c r="A996" s="23">
        <v>3.0936548336727703</v>
      </c>
      <c r="B996" s="24">
        <v>0.54055043655942814</v>
      </c>
    </row>
    <row r="997" spans="1:2" x14ac:dyDescent="0.2">
      <c r="A997" s="23">
        <v>2.81111003183078</v>
      </c>
      <c r="B997" s="24">
        <v>0.49996914768002604</v>
      </c>
    </row>
    <row r="998" spans="1:2" x14ac:dyDescent="0.2">
      <c r="A998" s="23">
        <v>2.1150895341207478</v>
      </c>
      <c r="B998" s="24">
        <v>0.37372962457209918</v>
      </c>
    </row>
    <row r="999" spans="1:2" x14ac:dyDescent="0.2">
      <c r="A999" s="23">
        <v>4.2082271228081085</v>
      </c>
      <c r="B999" s="24">
        <v>0.6844860109417954</v>
      </c>
    </row>
    <row r="1000" spans="1:2" x14ac:dyDescent="0.2">
      <c r="A1000" s="23">
        <v>2.679297386825664</v>
      </c>
      <c r="B1000" s="24">
        <v>0.47988765958166824</v>
      </c>
    </row>
    <row r="1001" spans="1:2" x14ac:dyDescent="0.2">
      <c r="A1001" s="23">
        <v>3.3679470465285863</v>
      </c>
      <c r="B1001" s="24">
        <v>0.57777093382582678</v>
      </c>
    </row>
    <row r="1002" spans="1:2" x14ac:dyDescent="0.2">
      <c r="A1002" s="23">
        <v>2.0315390075693593</v>
      </c>
      <c r="B1002" s="24">
        <v>0.19888807257860919</v>
      </c>
    </row>
    <row r="1003" spans="1:2" x14ac:dyDescent="0.2">
      <c r="A1003" s="23">
        <v>3.0833142141923631</v>
      </c>
      <c r="B1003" s="24">
        <v>0.53911135340291838</v>
      </c>
    </row>
    <row r="1004" spans="1:2" x14ac:dyDescent="0.2">
      <c r="A1004" s="23">
        <v>2.200390881842575</v>
      </c>
      <c r="B1004" s="24">
        <v>0.39385982409819914</v>
      </c>
    </row>
    <row r="1005" spans="1:2" x14ac:dyDescent="0.2">
      <c r="A1005" s="23">
        <v>2.1974594532041318</v>
      </c>
      <c r="B1005" s="24">
        <v>0.39321250931212892</v>
      </c>
    </row>
    <row r="1006" spans="1:2" x14ac:dyDescent="0.2">
      <c r="A1006" s="23">
        <v>3.7265583298221463</v>
      </c>
      <c r="B1006" s="24">
        <v>0.62434551223652601</v>
      </c>
    </row>
    <row r="1007" spans="1:2" x14ac:dyDescent="0.2">
      <c r="A1007" s="23">
        <v>1.9479856567964229</v>
      </c>
      <c r="B1007" s="24">
        <v>0.23280313935210944</v>
      </c>
    </row>
    <row r="1008" spans="1:2" x14ac:dyDescent="0.2">
      <c r="A1008" s="23">
        <v>2.1290354969979965</v>
      </c>
      <c r="B1008" s="24">
        <v>0.3772326724813706</v>
      </c>
    </row>
    <row r="1009" spans="1:2" x14ac:dyDescent="0.2">
      <c r="A1009" s="23">
        <v>1.9221018542826958</v>
      </c>
      <c r="B1009" s="24">
        <v>0.25127526749317586</v>
      </c>
    </row>
    <row r="1010" spans="1:2" x14ac:dyDescent="0.2">
      <c r="A1010" s="23">
        <v>2.1656963766693247</v>
      </c>
      <c r="B1010" s="24">
        <v>0.38601698833236814</v>
      </c>
    </row>
    <row r="1011" spans="1:2" x14ac:dyDescent="0.2">
      <c r="A1011" s="23">
        <v>3.1397242854331693</v>
      </c>
      <c r="B1011" s="24">
        <v>0.54692649252645276</v>
      </c>
    </row>
    <row r="1012" spans="1:2" x14ac:dyDescent="0.2">
      <c r="A1012" s="23">
        <v>2.6739157116659502</v>
      </c>
      <c r="B1012" s="24">
        <v>0.47904746448293611</v>
      </c>
    </row>
    <row r="1013" spans="1:2" x14ac:dyDescent="0.2">
      <c r="A1013" s="23">
        <v>2.9558474088719278</v>
      </c>
      <c r="B1013" s="24">
        <v>0.52110832647334859</v>
      </c>
    </row>
    <row r="1014" spans="1:2" x14ac:dyDescent="0.2">
      <c r="A1014" s="23">
        <v>2.6418179684251122</v>
      </c>
      <c r="B1014" s="24">
        <v>0.47399889196811917</v>
      </c>
    </row>
    <row r="1015" spans="1:2" x14ac:dyDescent="0.2">
      <c r="A1015" s="23">
        <v>1.9107601816819559</v>
      </c>
      <c r="B1015" s="24">
        <v>0.27868072324450588</v>
      </c>
    </row>
    <row r="1016" spans="1:2" x14ac:dyDescent="0.2">
      <c r="A1016" s="23">
        <v>2.3099628342063512</v>
      </c>
      <c r="B1016" s="24">
        <v>0.4164668473984231</v>
      </c>
    </row>
    <row r="1017" spans="1:2" x14ac:dyDescent="0.2">
      <c r="A1017" s="23">
        <v>2.1908238423154236</v>
      </c>
      <c r="B1017" s="24">
        <v>0.15718610521816331</v>
      </c>
    </row>
    <row r="1018" spans="1:2" x14ac:dyDescent="0.2">
      <c r="A1018" s="23">
        <v>3.3722249924132499</v>
      </c>
      <c r="B1018" s="24">
        <v>0.57833877739054229</v>
      </c>
    </row>
    <row r="1019" spans="1:2" x14ac:dyDescent="0.2">
      <c r="A1019" s="23">
        <v>3.2912111623138078</v>
      </c>
      <c r="B1019" s="24">
        <v>0.56752516643639994</v>
      </c>
    </row>
    <row r="1020" spans="1:2" x14ac:dyDescent="0.2">
      <c r="A1020" s="23">
        <v>1.9283049242655614</v>
      </c>
      <c r="B1020" s="24">
        <v>0.30315332924782118</v>
      </c>
    </row>
    <row r="1021" spans="1:2" x14ac:dyDescent="0.2">
      <c r="A1021" s="23">
        <v>2.0215878560436851</v>
      </c>
      <c r="B1021" s="24">
        <v>0.20214929825590841</v>
      </c>
    </row>
    <row r="1022" spans="1:2" x14ac:dyDescent="0.2">
      <c r="A1022" s="23">
        <v>2.3217274111725525</v>
      </c>
      <c r="B1022" s="24">
        <v>0.41874278192715653</v>
      </c>
    </row>
    <row r="1023" spans="1:2" x14ac:dyDescent="0.2">
      <c r="A1023" s="23">
        <v>4.9879928047773463</v>
      </c>
      <c r="B1023" s="24">
        <v>0.77831359070734052</v>
      </c>
    </row>
    <row r="1024" spans="1:2" x14ac:dyDescent="0.2">
      <c r="A1024" s="23">
        <v>2.7078262766408581</v>
      </c>
      <c r="B1024" s="24">
        <v>0.48431301401183113</v>
      </c>
    </row>
    <row r="1025" spans="1:2" x14ac:dyDescent="0.2">
      <c r="A1025" s="23">
        <v>2.1013161000401981</v>
      </c>
      <c r="B1025" s="24">
        <v>0.37016796934670615</v>
      </c>
    </row>
    <row r="1026" spans="1:2" x14ac:dyDescent="0.2">
      <c r="A1026" s="23">
        <v>2.603406052483463</v>
      </c>
      <c r="B1026" s="24">
        <v>0.46786770380251474</v>
      </c>
    </row>
    <row r="1027" spans="1:2" x14ac:dyDescent="0.2">
      <c r="A1027" s="23">
        <v>3.4938412002198542</v>
      </c>
      <c r="B1027" s="24">
        <v>0.59434633746494814</v>
      </c>
    </row>
    <row r="1028" spans="1:2" x14ac:dyDescent="0.2">
      <c r="A1028" s="23">
        <v>2.3786740645168165</v>
      </c>
      <c r="B1028" s="24">
        <v>0.42943831018703971</v>
      </c>
    </row>
    <row r="1029" spans="1:2" x14ac:dyDescent="0.2">
      <c r="A1029" s="23">
        <v>2.5625667401738577</v>
      </c>
      <c r="B1029" s="24">
        <v>0.46123195482989826</v>
      </c>
    </row>
    <row r="1030" spans="1:2" x14ac:dyDescent="0.2">
      <c r="A1030" s="23">
        <v>1.9937265562551165</v>
      </c>
      <c r="B1030" s="24">
        <v>0.33684247513038534</v>
      </c>
    </row>
    <row r="1031" spans="1:2" x14ac:dyDescent="0.2">
      <c r="A1031" s="23">
        <v>3.4137278085446687</v>
      </c>
      <c r="B1031" s="24">
        <v>0.58383036944833855</v>
      </c>
    </row>
    <row r="1032" spans="1:2" x14ac:dyDescent="0.2">
      <c r="A1032" s="23">
        <v>5.3884444235396751</v>
      </c>
      <c r="B1032" s="24">
        <v>0.8254187971483663</v>
      </c>
    </row>
    <row r="1033" spans="1:2" x14ac:dyDescent="0.2">
      <c r="A1033" s="23">
        <v>3.1281613809246571</v>
      </c>
      <c r="B1033" s="24">
        <v>0.5453314763997833</v>
      </c>
    </row>
    <row r="1034" spans="1:2" x14ac:dyDescent="0.2">
      <c r="A1034" s="23">
        <v>2.5972280817062208</v>
      </c>
      <c r="B1034" s="24">
        <v>0.46687191766849845</v>
      </c>
    </row>
    <row r="1035" spans="1:2" x14ac:dyDescent="0.2">
      <c r="A1035" s="23">
        <v>2.338309646243931</v>
      </c>
      <c r="B1035" s="24">
        <v>0.42191013491245605</v>
      </c>
    </row>
    <row r="1036" spans="1:2" x14ac:dyDescent="0.2">
      <c r="A1036" s="23">
        <v>2.2830732208805431</v>
      </c>
      <c r="B1036" s="24">
        <v>0.41116809212930799</v>
      </c>
    </row>
    <row r="1037" spans="1:2" x14ac:dyDescent="0.2">
      <c r="A1037" s="23">
        <v>2.5562474666906581</v>
      </c>
      <c r="B1037" s="24">
        <v>0.46019358478364675</v>
      </c>
    </row>
    <row r="1038" spans="1:2" x14ac:dyDescent="0.2">
      <c r="A1038" s="23">
        <v>4.9556198763310579</v>
      </c>
      <c r="B1038" s="24">
        <v>0.77447922634681121</v>
      </c>
    </row>
    <row r="1039" spans="1:2" x14ac:dyDescent="0.2">
      <c r="A1039" s="23">
        <v>3.0901085367384269</v>
      </c>
      <c r="B1039" s="24">
        <v>0.54005724168890312</v>
      </c>
    </row>
    <row r="1040" spans="1:2" x14ac:dyDescent="0.2">
      <c r="A1040" s="23">
        <v>1.9364189344378446</v>
      </c>
      <c r="B1040" s="24">
        <v>0.30907645347235924</v>
      </c>
    </row>
    <row r="1041" spans="1:2" x14ac:dyDescent="0.2">
      <c r="A1041" s="23">
        <v>2.8011735665976749</v>
      </c>
      <c r="B1041" s="24">
        <v>0.4984857561284684</v>
      </c>
    </row>
    <row r="1042" spans="1:2" x14ac:dyDescent="0.2">
      <c r="A1042" s="23">
        <v>4.6712568784754005</v>
      </c>
      <c r="B1042" s="24">
        <v>0.74059820113534403</v>
      </c>
    </row>
    <row r="1043" spans="1:2" x14ac:dyDescent="0.2">
      <c r="A1043" s="23">
        <v>3.0485035821573008</v>
      </c>
      <c r="B1043" s="24">
        <v>0.53424441248954679</v>
      </c>
    </row>
    <row r="1044" spans="1:2" x14ac:dyDescent="0.2">
      <c r="A1044" s="78"/>
      <c r="B1044" s="79"/>
    </row>
    <row r="1045" spans="1:2" x14ac:dyDescent="0.2">
      <c r="A1045" s="78"/>
      <c r="B1045" s="79"/>
    </row>
    <row r="1046" spans="1:2" x14ac:dyDescent="0.2">
      <c r="A1046" s="78"/>
      <c r="B1046" s="79"/>
    </row>
    <row r="1047" spans="1:2" x14ac:dyDescent="0.2">
      <c r="A1047" s="78"/>
      <c r="B1047" s="79"/>
    </row>
    <row r="1048" spans="1:2" x14ac:dyDescent="0.2">
      <c r="A1048" s="78"/>
      <c r="B1048" s="79"/>
    </row>
    <row r="1049" spans="1:2" x14ac:dyDescent="0.2">
      <c r="A1049" s="78"/>
      <c r="B1049" s="79"/>
    </row>
    <row r="1050" spans="1:2" x14ac:dyDescent="0.2">
      <c r="A1050" s="78"/>
      <c r="B1050" s="79"/>
    </row>
    <row r="1051" spans="1:2" x14ac:dyDescent="0.2">
      <c r="A1051" s="78"/>
      <c r="B1051" s="79"/>
    </row>
    <row r="1052" spans="1:2" x14ac:dyDescent="0.2">
      <c r="A1052" s="78"/>
      <c r="B1052" s="79"/>
    </row>
    <row r="1053" spans="1:2" x14ac:dyDescent="0.2">
      <c r="A1053" s="78"/>
      <c r="B1053" s="79"/>
    </row>
    <row r="1054" spans="1:2" x14ac:dyDescent="0.2">
      <c r="A1054" s="78"/>
      <c r="B1054" s="79"/>
    </row>
    <row r="1055" spans="1:2" x14ac:dyDescent="0.2">
      <c r="A1055" s="78"/>
      <c r="B1055" s="79"/>
    </row>
    <row r="1056" spans="1:2" x14ac:dyDescent="0.2">
      <c r="A1056" s="78"/>
      <c r="B1056" s="79"/>
    </row>
    <row r="1057" spans="1:2" x14ac:dyDescent="0.2">
      <c r="A1057" s="78"/>
      <c r="B1057" s="79"/>
    </row>
    <row r="1058" spans="1:2" x14ac:dyDescent="0.2">
      <c r="A1058" s="78"/>
      <c r="B1058" s="79"/>
    </row>
    <row r="1059" spans="1:2" x14ac:dyDescent="0.2">
      <c r="A1059" s="78"/>
      <c r="B1059" s="79"/>
    </row>
    <row r="1060" spans="1:2" x14ac:dyDescent="0.2">
      <c r="A1060" s="78"/>
      <c r="B1060" s="79"/>
    </row>
    <row r="1061" spans="1:2" x14ac:dyDescent="0.2">
      <c r="A1061" s="78"/>
      <c r="B1061" s="79"/>
    </row>
    <row r="1062" spans="1:2" x14ac:dyDescent="0.2">
      <c r="A1062" s="78"/>
      <c r="B1062" s="79"/>
    </row>
    <row r="1063" spans="1:2" x14ac:dyDescent="0.2">
      <c r="A1063" s="78"/>
      <c r="B1063" s="79"/>
    </row>
    <row r="1064" spans="1:2" x14ac:dyDescent="0.2">
      <c r="A1064" s="78"/>
      <c r="B1064" s="79"/>
    </row>
    <row r="1065" spans="1:2" x14ac:dyDescent="0.2">
      <c r="A1065" s="78"/>
      <c r="B1065" s="79"/>
    </row>
    <row r="1066" spans="1:2" x14ac:dyDescent="0.2">
      <c r="A1066" s="78"/>
      <c r="B1066" s="79"/>
    </row>
    <row r="1067" spans="1:2" x14ac:dyDescent="0.2">
      <c r="A1067" s="78"/>
      <c r="B1067" s="79"/>
    </row>
    <row r="1068" spans="1:2" x14ac:dyDescent="0.2">
      <c r="A1068" s="78"/>
      <c r="B1068" s="79"/>
    </row>
    <row r="1069" spans="1:2" x14ac:dyDescent="0.2">
      <c r="A1069" s="78"/>
      <c r="B1069" s="79"/>
    </row>
    <row r="1070" spans="1:2" x14ac:dyDescent="0.2">
      <c r="A1070" s="78"/>
      <c r="B1070" s="79"/>
    </row>
    <row r="1071" spans="1:2" x14ac:dyDescent="0.2">
      <c r="A1071" s="78"/>
      <c r="B1071" s="79"/>
    </row>
    <row r="1072" spans="1:2" x14ac:dyDescent="0.2">
      <c r="A1072" s="78"/>
      <c r="B1072" s="79"/>
    </row>
    <row r="1073" spans="1:2" x14ac:dyDescent="0.2">
      <c r="A1073" s="78"/>
      <c r="B1073" s="79"/>
    </row>
    <row r="1074" spans="1:2" x14ac:dyDescent="0.2">
      <c r="A1074" s="78"/>
      <c r="B1074" s="79"/>
    </row>
    <row r="1075" spans="1:2" x14ac:dyDescent="0.2">
      <c r="A1075" s="78"/>
      <c r="B1075" s="79"/>
    </row>
    <row r="1076" spans="1:2" x14ac:dyDescent="0.2">
      <c r="A1076" s="78"/>
      <c r="B1076" s="79"/>
    </row>
    <row r="1077" spans="1:2" x14ac:dyDescent="0.2">
      <c r="A1077" s="78"/>
      <c r="B1077" s="79"/>
    </row>
    <row r="1078" spans="1:2" x14ac:dyDescent="0.2">
      <c r="A1078" s="78"/>
      <c r="B1078" s="79"/>
    </row>
    <row r="1079" spans="1:2" x14ac:dyDescent="0.2">
      <c r="A1079" s="78"/>
      <c r="B1079" s="79"/>
    </row>
    <row r="1080" spans="1:2" x14ac:dyDescent="0.2">
      <c r="A1080" s="78"/>
      <c r="B1080" s="79"/>
    </row>
    <row r="1081" spans="1:2" x14ac:dyDescent="0.2">
      <c r="A1081" s="78"/>
      <c r="B1081" s="79"/>
    </row>
    <row r="1082" spans="1:2" x14ac:dyDescent="0.2">
      <c r="A1082" s="78"/>
      <c r="B1082" s="79"/>
    </row>
    <row r="1083" spans="1:2" x14ac:dyDescent="0.2">
      <c r="A1083" s="78"/>
      <c r="B1083" s="79"/>
    </row>
    <row r="1084" spans="1:2" x14ac:dyDescent="0.2">
      <c r="A1084" s="78"/>
      <c r="B1084" s="79"/>
    </row>
    <row r="1085" spans="1:2" x14ac:dyDescent="0.2">
      <c r="A1085" s="78"/>
      <c r="B1085" s="79"/>
    </row>
    <row r="1086" spans="1:2" x14ac:dyDescent="0.2">
      <c r="A1086" s="78"/>
      <c r="B1086" s="79"/>
    </row>
    <row r="1087" spans="1:2" x14ac:dyDescent="0.2">
      <c r="A1087" s="78"/>
      <c r="B1087" s="79"/>
    </row>
    <row r="1088" spans="1:2" x14ac:dyDescent="0.2">
      <c r="A1088" s="78"/>
      <c r="B1088" s="79"/>
    </row>
    <row r="1089" spans="1:2" x14ac:dyDescent="0.2">
      <c r="A1089" s="78"/>
      <c r="B1089" s="79"/>
    </row>
    <row r="1090" spans="1:2" x14ac:dyDescent="0.2">
      <c r="A1090" s="78"/>
      <c r="B1090" s="79"/>
    </row>
    <row r="1091" spans="1:2" x14ac:dyDescent="0.2">
      <c r="A1091" s="78"/>
      <c r="B1091" s="79"/>
    </row>
    <row r="1092" spans="1:2" x14ac:dyDescent="0.2">
      <c r="A1092" s="78"/>
      <c r="B1092" s="79"/>
    </row>
    <row r="1093" spans="1:2" x14ac:dyDescent="0.2">
      <c r="A1093" s="78"/>
      <c r="B1093" s="79"/>
    </row>
    <row r="1094" spans="1:2" x14ac:dyDescent="0.2">
      <c r="A1094" s="78"/>
      <c r="B1094" s="79"/>
    </row>
    <row r="1095" spans="1:2" x14ac:dyDescent="0.2">
      <c r="A1095" s="78"/>
      <c r="B1095" s="79"/>
    </row>
    <row r="1096" spans="1:2" x14ac:dyDescent="0.2">
      <c r="A1096" s="78"/>
      <c r="B1096" s="79"/>
    </row>
    <row r="1097" spans="1:2" x14ac:dyDescent="0.2">
      <c r="A1097" s="78"/>
      <c r="B1097" s="79"/>
    </row>
    <row r="1098" spans="1:2" x14ac:dyDescent="0.2">
      <c r="A1098" s="78"/>
      <c r="B1098" s="79"/>
    </row>
    <row r="1099" spans="1:2" x14ac:dyDescent="0.2">
      <c r="A1099" s="78"/>
      <c r="B1099" s="79"/>
    </row>
    <row r="1100" spans="1:2" x14ac:dyDescent="0.2">
      <c r="A1100" s="78"/>
      <c r="B1100" s="79"/>
    </row>
    <row r="1101" spans="1:2" x14ac:dyDescent="0.2">
      <c r="A1101" s="78"/>
      <c r="B1101" s="79"/>
    </row>
    <row r="1102" spans="1:2" x14ac:dyDescent="0.2">
      <c r="A1102" s="78"/>
      <c r="B1102" s="79"/>
    </row>
    <row r="1103" spans="1:2" x14ac:dyDescent="0.2">
      <c r="A1103" s="78"/>
      <c r="B1103" s="79"/>
    </row>
    <row r="1104" spans="1:2" x14ac:dyDescent="0.2">
      <c r="A1104" s="78"/>
      <c r="B1104" s="79"/>
    </row>
    <row r="1105" spans="1:2" x14ac:dyDescent="0.2">
      <c r="A1105" s="78"/>
      <c r="B1105" s="79"/>
    </row>
    <row r="1106" spans="1:2" x14ac:dyDescent="0.2">
      <c r="A1106" s="78"/>
      <c r="B1106" s="79"/>
    </row>
    <row r="1107" spans="1:2" x14ac:dyDescent="0.2">
      <c r="A1107" s="78"/>
      <c r="B1107" s="79"/>
    </row>
    <row r="1108" spans="1:2" x14ac:dyDescent="0.2">
      <c r="A1108" s="78"/>
      <c r="B1108" s="79"/>
    </row>
    <row r="1109" spans="1:2" x14ac:dyDescent="0.2">
      <c r="A1109" s="78"/>
      <c r="B1109" s="79"/>
    </row>
    <row r="1110" spans="1:2" x14ac:dyDescent="0.2">
      <c r="A1110" s="78"/>
      <c r="B1110" s="79"/>
    </row>
    <row r="1111" spans="1:2" x14ac:dyDescent="0.2">
      <c r="A1111" s="78"/>
      <c r="B1111" s="79"/>
    </row>
    <row r="1112" spans="1:2" x14ac:dyDescent="0.2">
      <c r="A1112" s="78"/>
      <c r="B1112" s="79"/>
    </row>
    <row r="1113" spans="1:2" x14ac:dyDescent="0.2">
      <c r="A1113" s="78"/>
      <c r="B1113" s="79"/>
    </row>
    <row r="1114" spans="1:2" x14ac:dyDescent="0.2">
      <c r="A1114" s="78"/>
      <c r="B1114" s="79"/>
    </row>
    <row r="1115" spans="1:2" x14ac:dyDescent="0.2">
      <c r="A1115" s="78"/>
      <c r="B1115" s="79"/>
    </row>
    <row r="1116" spans="1:2" x14ac:dyDescent="0.2">
      <c r="A1116" s="78"/>
      <c r="B1116" s="79"/>
    </row>
    <row r="1117" spans="1:2" x14ac:dyDescent="0.2">
      <c r="A1117" s="78"/>
      <c r="B1117" s="79"/>
    </row>
    <row r="1118" spans="1:2" x14ac:dyDescent="0.2">
      <c r="A1118" s="78"/>
      <c r="B1118" s="79"/>
    </row>
    <row r="1119" spans="1:2" x14ac:dyDescent="0.2">
      <c r="A1119" s="78"/>
      <c r="B1119" s="79"/>
    </row>
    <row r="1120" spans="1:2" x14ac:dyDescent="0.2">
      <c r="A1120" s="78"/>
      <c r="B1120" s="79"/>
    </row>
    <row r="1121" spans="1:2" x14ac:dyDescent="0.2">
      <c r="A1121" s="78"/>
      <c r="B1121" s="79"/>
    </row>
    <row r="1122" spans="1:2" x14ac:dyDescent="0.2">
      <c r="A1122" s="78"/>
      <c r="B1122" s="79"/>
    </row>
    <row r="1123" spans="1:2" x14ac:dyDescent="0.2">
      <c r="A1123" s="78"/>
      <c r="B1123" s="79"/>
    </row>
    <row r="1124" spans="1:2" x14ac:dyDescent="0.2">
      <c r="A1124" s="78"/>
      <c r="B1124" s="79"/>
    </row>
    <row r="1125" spans="1:2" x14ac:dyDescent="0.2">
      <c r="A1125" s="78"/>
      <c r="B1125" s="79"/>
    </row>
    <row r="1126" spans="1:2" x14ac:dyDescent="0.2">
      <c r="A1126" s="78"/>
      <c r="B1126" s="79"/>
    </row>
    <row r="1127" spans="1:2" x14ac:dyDescent="0.2">
      <c r="A1127" s="78"/>
      <c r="B1127" s="79"/>
    </row>
    <row r="1128" spans="1:2" x14ac:dyDescent="0.2">
      <c r="A1128" s="78"/>
      <c r="B1128" s="79"/>
    </row>
    <row r="1129" spans="1:2" x14ac:dyDescent="0.2">
      <c r="A1129" s="78"/>
      <c r="B1129" s="79"/>
    </row>
    <row r="1130" spans="1:2" x14ac:dyDescent="0.2">
      <c r="A1130" s="78"/>
      <c r="B1130" s="79"/>
    </row>
    <row r="1131" spans="1:2" x14ac:dyDescent="0.2">
      <c r="A1131" s="78"/>
      <c r="B1131" s="79"/>
    </row>
    <row r="1132" spans="1:2" x14ac:dyDescent="0.2">
      <c r="A1132" s="78"/>
      <c r="B1132" s="79"/>
    </row>
    <row r="1133" spans="1:2" x14ac:dyDescent="0.2">
      <c r="A1133" s="78"/>
      <c r="B1133" s="79"/>
    </row>
    <row r="1134" spans="1:2" x14ac:dyDescent="0.2">
      <c r="A1134" s="78"/>
      <c r="B1134" s="79"/>
    </row>
    <row r="1135" spans="1:2" x14ac:dyDescent="0.2">
      <c r="A1135" s="78"/>
      <c r="B1135" s="79"/>
    </row>
    <row r="1136" spans="1:2" x14ac:dyDescent="0.2">
      <c r="A1136" s="78"/>
      <c r="B1136" s="79"/>
    </row>
    <row r="1137" spans="1:2" x14ac:dyDescent="0.2">
      <c r="A1137" s="78"/>
      <c r="B1137" s="79"/>
    </row>
    <row r="1138" spans="1:2" x14ac:dyDescent="0.2">
      <c r="A1138" s="78"/>
      <c r="B1138" s="79"/>
    </row>
    <row r="1139" spans="1:2" x14ac:dyDescent="0.2">
      <c r="A1139" s="78"/>
      <c r="B1139" s="79"/>
    </row>
    <row r="1140" spans="1:2" x14ac:dyDescent="0.2">
      <c r="A1140" s="78"/>
      <c r="B1140" s="79"/>
    </row>
    <row r="1141" spans="1:2" x14ac:dyDescent="0.2">
      <c r="A1141" s="78"/>
      <c r="B1141" s="79"/>
    </row>
    <row r="1142" spans="1:2" x14ac:dyDescent="0.2">
      <c r="A1142" s="78"/>
      <c r="B1142" s="79"/>
    </row>
    <row r="1143" spans="1:2" x14ac:dyDescent="0.2">
      <c r="A1143" s="78"/>
      <c r="B1143" s="79"/>
    </row>
    <row r="1144" spans="1:2" x14ac:dyDescent="0.2">
      <c r="A1144" s="78"/>
      <c r="B1144" s="79"/>
    </row>
    <row r="1145" spans="1:2" x14ac:dyDescent="0.2">
      <c r="A1145" s="78"/>
      <c r="B1145" s="79"/>
    </row>
    <row r="1146" spans="1:2" x14ac:dyDescent="0.2">
      <c r="A1146" s="78"/>
      <c r="B1146" s="79"/>
    </row>
    <row r="1147" spans="1:2" x14ac:dyDescent="0.2">
      <c r="A1147" s="78"/>
      <c r="B1147" s="79"/>
    </row>
    <row r="1148" spans="1:2" x14ac:dyDescent="0.2">
      <c r="A1148" s="78"/>
      <c r="B1148" s="79"/>
    </row>
    <row r="1149" spans="1:2" x14ac:dyDescent="0.2">
      <c r="A1149" s="78"/>
      <c r="B1149" s="79"/>
    </row>
    <row r="1150" spans="1:2" x14ac:dyDescent="0.2">
      <c r="A1150" s="78"/>
      <c r="B1150" s="79"/>
    </row>
    <row r="1151" spans="1:2" x14ac:dyDescent="0.2">
      <c r="A1151" s="78"/>
      <c r="B1151" s="79"/>
    </row>
    <row r="1152" spans="1:2" x14ac:dyDescent="0.2">
      <c r="A1152" s="78"/>
      <c r="B1152" s="79"/>
    </row>
    <row r="1153" spans="1:2" x14ac:dyDescent="0.2">
      <c r="A1153" s="78"/>
      <c r="B1153" s="79"/>
    </row>
    <row r="1154" spans="1:2" x14ac:dyDescent="0.2">
      <c r="A1154" s="78"/>
      <c r="B1154" s="79"/>
    </row>
    <row r="1155" spans="1:2" x14ac:dyDescent="0.2">
      <c r="A1155" s="78"/>
      <c r="B1155" s="79"/>
    </row>
    <row r="1156" spans="1:2" x14ac:dyDescent="0.2">
      <c r="A1156" s="78"/>
      <c r="B1156" s="79"/>
    </row>
    <row r="1157" spans="1:2" x14ac:dyDescent="0.2">
      <c r="A1157" s="78"/>
      <c r="B1157" s="79"/>
    </row>
    <row r="1158" spans="1:2" x14ac:dyDescent="0.2">
      <c r="A1158" s="78"/>
      <c r="B1158" s="79"/>
    </row>
    <row r="1159" spans="1:2" x14ac:dyDescent="0.2">
      <c r="A1159" s="78"/>
      <c r="B1159" s="79"/>
    </row>
    <row r="1160" spans="1:2" x14ac:dyDescent="0.2">
      <c r="A1160" s="78"/>
      <c r="B1160" s="79"/>
    </row>
    <row r="1161" spans="1:2" x14ac:dyDescent="0.2">
      <c r="A1161" s="78"/>
      <c r="B1161" s="79"/>
    </row>
    <row r="1162" spans="1:2" x14ac:dyDescent="0.2">
      <c r="A1162" s="78"/>
      <c r="B1162" s="79"/>
    </row>
    <row r="1163" spans="1:2" x14ac:dyDescent="0.2">
      <c r="A1163" s="78"/>
      <c r="B1163" s="79"/>
    </row>
    <row r="1164" spans="1:2" x14ac:dyDescent="0.2">
      <c r="A1164" s="78"/>
      <c r="B1164" s="79"/>
    </row>
    <row r="1165" spans="1:2" x14ac:dyDescent="0.2">
      <c r="A1165" s="78"/>
      <c r="B1165" s="79"/>
    </row>
    <row r="1166" spans="1:2" x14ac:dyDescent="0.2">
      <c r="A1166" s="78"/>
      <c r="B1166" s="79"/>
    </row>
    <row r="1167" spans="1:2" x14ac:dyDescent="0.2">
      <c r="A1167" s="78"/>
      <c r="B1167" s="79"/>
    </row>
    <row r="1168" spans="1:2" x14ac:dyDescent="0.2">
      <c r="A1168" s="78"/>
      <c r="B1168" s="79"/>
    </row>
    <row r="1169" spans="1:2" x14ac:dyDescent="0.2">
      <c r="A1169" s="78"/>
      <c r="B1169" s="79"/>
    </row>
    <row r="1170" spans="1:2" x14ac:dyDescent="0.2">
      <c r="A1170" s="78"/>
      <c r="B1170" s="80"/>
    </row>
    <row r="1171" spans="1:2" x14ac:dyDescent="0.2">
      <c r="A1171" s="78"/>
      <c r="B1171" s="80"/>
    </row>
    <row r="1172" spans="1:2" x14ac:dyDescent="0.2">
      <c r="A1172" s="78"/>
      <c r="B1172" s="80"/>
    </row>
    <row r="1173" spans="1:2" x14ac:dyDescent="0.2">
      <c r="A1173" s="78"/>
      <c r="B1173" s="80"/>
    </row>
    <row r="1174" spans="1:2" x14ac:dyDescent="0.2">
      <c r="A1174" s="78"/>
      <c r="B1174" s="80"/>
    </row>
    <row r="1175" spans="1:2" x14ac:dyDescent="0.2">
      <c r="A1175" s="78"/>
      <c r="B1175" s="80"/>
    </row>
    <row r="1176" spans="1:2" x14ac:dyDescent="0.2">
      <c r="A1176" s="78"/>
      <c r="B1176" s="80"/>
    </row>
    <row r="1177" spans="1:2" x14ac:dyDescent="0.2">
      <c r="A1177" s="78"/>
      <c r="B1177" s="80"/>
    </row>
    <row r="1178" spans="1:2" x14ac:dyDescent="0.2">
      <c r="A1178" s="78"/>
      <c r="B1178" s="80"/>
    </row>
    <row r="1179" spans="1:2" x14ac:dyDescent="0.2">
      <c r="A1179" s="78"/>
      <c r="B1179" s="80"/>
    </row>
    <row r="1180" spans="1:2" x14ac:dyDescent="0.2">
      <c r="A1180" s="78"/>
      <c r="B1180" s="80"/>
    </row>
    <row r="1181" spans="1:2" x14ac:dyDescent="0.2">
      <c r="A1181" s="78"/>
      <c r="B1181" s="80"/>
    </row>
    <row r="1182" spans="1:2" x14ac:dyDescent="0.2">
      <c r="A1182" s="78"/>
      <c r="B1182" s="80"/>
    </row>
    <row r="1183" spans="1:2" x14ac:dyDescent="0.2">
      <c r="A1183" s="78"/>
      <c r="B1183" s="80"/>
    </row>
    <row r="1184" spans="1:2" x14ac:dyDescent="0.2">
      <c r="A1184" s="78"/>
      <c r="B1184" s="80"/>
    </row>
    <row r="1185" spans="1:2" x14ac:dyDescent="0.2">
      <c r="A1185" s="78"/>
      <c r="B1185" s="80"/>
    </row>
    <row r="1186" spans="1:2" x14ac:dyDescent="0.2">
      <c r="A1186" s="78"/>
      <c r="B1186" s="80"/>
    </row>
    <row r="1187" spans="1:2" x14ac:dyDescent="0.2">
      <c r="A1187" s="78"/>
      <c r="B1187" s="80"/>
    </row>
    <row r="1188" spans="1:2" x14ac:dyDescent="0.2">
      <c r="A1188" s="78"/>
      <c r="B1188" s="80"/>
    </row>
    <row r="1189" spans="1:2" x14ac:dyDescent="0.2">
      <c r="A1189" s="78"/>
      <c r="B1189" s="80"/>
    </row>
    <row r="1190" spans="1:2" x14ac:dyDescent="0.2">
      <c r="A1190" s="78"/>
      <c r="B1190" s="80"/>
    </row>
    <row r="1191" spans="1:2" x14ac:dyDescent="0.2">
      <c r="A1191" s="78"/>
      <c r="B1191" s="80"/>
    </row>
    <row r="1192" spans="1:2" x14ac:dyDescent="0.2">
      <c r="A1192" s="78"/>
      <c r="B1192" s="80"/>
    </row>
    <row r="1193" spans="1:2" x14ac:dyDescent="0.2">
      <c r="A1193" s="78"/>
      <c r="B1193" s="80"/>
    </row>
    <row r="1194" spans="1:2" x14ac:dyDescent="0.2">
      <c r="A1194" s="78"/>
      <c r="B1194" s="80"/>
    </row>
    <row r="1195" spans="1:2" x14ac:dyDescent="0.2">
      <c r="A1195" s="78"/>
      <c r="B1195" s="80"/>
    </row>
    <row r="1196" spans="1:2" x14ac:dyDescent="0.2">
      <c r="A1196" s="78"/>
      <c r="B1196" s="80"/>
    </row>
    <row r="1197" spans="1:2" x14ac:dyDescent="0.2">
      <c r="A1197" s="78"/>
      <c r="B1197" s="80"/>
    </row>
    <row r="1198" spans="1:2" x14ac:dyDescent="0.2">
      <c r="A1198" s="78"/>
      <c r="B1198" s="80"/>
    </row>
    <row r="1199" spans="1:2" x14ac:dyDescent="0.2">
      <c r="A1199" s="78"/>
      <c r="B1199" s="80"/>
    </row>
    <row r="1200" spans="1:2" x14ac:dyDescent="0.2">
      <c r="A1200" s="78"/>
      <c r="B1200" s="80"/>
    </row>
    <row r="1201" spans="1:2" x14ac:dyDescent="0.2">
      <c r="A1201" s="78"/>
      <c r="B1201" s="80"/>
    </row>
    <row r="1202" spans="1:2" x14ac:dyDescent="0.2">
      <c r="A1202" s="78"/>
      <c r="B1202" s="80"/>
    </row>
    <row r="1203" spans="1:2" x14ac:dyDescent="0.2">
      <c r="A1203" s="78"/>
      <c r="B1203" s="80"/>
    </row>
    <row r="1204" spans="1:2" x14ac:dyDescent="0.2">
      <c r="A1204" s="78"/>
      <c r="B1204" s="80"/>
    </row>
    <row r="1205" spans="1:2" x14ac:dyDescent="0.2">
      <c r="A1205" s="78"/>
      <c r="B1205" s="80"/>
    </row>
    <row r="1206" spans="1:2" x14ac:dyDescent="0.2">
      <c r="A1206" s="78"/>
      <c r="B1206" s="80"/>
    </row>
    <row r="1207" spans="1:2" x14ac:dyDescent="0.2">
      <c r="A1207" s="78"/>
      <c r="B1207" s="80"/>
    </row>
    <row r="1208" spans="1:2" x14ac:dyDescent="0.2">
      <c r="A1208" s="78"/>
      <c r="B1208" s="80"/>
    </row>
    <row r="1209" spans="1:2" x14ac:dyDescent="0.2">
      <c r="A1209" s="78"/>
      <c r="B1209" s="80"/>
    </row>
    <row r="1210" spans="1:2" x14ac:dyDescent="0.2">
      <c r="A1210" s="78"/>
      <c r="B1210" s="80"/>
    </row>
    <row r="1211" spans="1:2" x14ac:dyDescent="0.2">
      <c r="A1211" s="78"/>
      <c r="B1211" s="80"/>
    </row>
    <row r="1212" spans="1:2" x14ac:dyDescent="0.2">
      <c r="A1212" s="78"/>
      <c r="B1212" s="80"/>
    </row>
    <row r="1213" spans="1:2" x14ac:dyDescent="0.2">
      <c r="A1213" s="78"/>
      <c r="B1213" s="80"/>
    </row>
    <row r="1214" spans="1:2" x14ac:dyDescent="0.2">
      <c r="A1214" s="78"/>
      <c r="B1214" s="80"/>
    </row>
    <row r="1215" spans="1:2" x14ac:dyDescent="0.2">
      <c r="A1215" s="78"/>
      <c r="B1215" s="80"/>
    </row>
    <row r="1216" spans="1:2" x14ac:dyDescent="0.2">
      <c r="A1216" s="78"/>
      <c r="B1216" s="80"/>
    </row>
    <row r="1217" spans="1:2" x14ac:dyDescent="0.2">
      <c r="A1217" s="78"/>
      <c r="B1217" s="80"/>
    </row>
    <row r="1218" spans="1:2" x14ac:dyDescent="0.2">
      <c r="A1218" s="78"/>
      <c r="B1218" s="80"/>
    </row>
    <row r="1219" spans="1:2" x14ac:dyDescent="0.2">
      <c r="A1219" s="78"/>
      <c r="B1219" s="80"/>
    </row>
    <row r="1220" spans="1:2" x14ac:dyDescent="0.2">
      <c r="A1220" s="78"/>
      <c r="B1220" s="80"/>
    </row>
    <row r="1221" spans="1:2" x14ac:dyDescent="0.2">
      <c r="A1221" s="78"/>
      <c r="B1221" s="80"/>
    </row>
    <row r="1222" spans="1:2" x14ac:dyDescent="0.2">
      <c r="A1222" s="78"/>
      <c r="B1222" s="80"/>
    </row>
    <row r="1223" spans="1:2" x14ac:dyDescent="0.2">
      <c r="A1223" s="78"/>
      <c r="B1223" s="80"/>
    </row>
    <row r="1224" spans="1:2" x14ac:dyDescent="0.2">
      <c r="A1224" s="78"/>
      <c r="B1224" s="80"/>
    </row>
    <row r="1225" spans="1:2" x14ac:dyDescent="0.2">
      <c r="A1225" s="78"/>
      <c r="B1225" s="80"/>
    </row>
    <row r="1226" spans="1:2" x14ac:dyDescent="0.2">
      <c r="A1226" s="78"/>
      <c r="B1226" s="80"/>
    </row>
    <row r="1227" spans="1:2" x14ac:dyDescent="0.2">
      <c r="A1227" s="78"/>
      <c r="B1227" s="80"/>
    </row>
    <row r="1228" spans="1:2" x14ac:dyDescent="0.2">
      <c r="A1228" s="78"/>
      <c r="B1228" s="80"/>
    </row>
    <row r="1229" spans="1:2" x14ac:dyDescent="0.2">
      <c r="A1229" s="78"/>
      <c r="B1229" s="80"/>
    </row>
    <row r="1230" spans="1:2" x14ac:dyDescent="0.2">
      <c r="A1230" s="78"/>
      <c r="B1230" s="80"/>
    </row>
    <row r="1231" spans="1:2" x14ac:dyDescent="0.2">
      <c r="A1231" s="78"/>
      <c r="B1231" s="80"/>
    </row>
    <row r="1232" spans="1:2" x14ac:dyDescent="0.2">
      <c r="A1232" s="78"/>
      <c r="B1232" s="80"/>
    </row>
    <row r="1233" spans="1:2" x14ac:dyDescent="0.2">
      <c r="A1233" s="78"/>
      <c r="B1233" s="80"/>
    </row>
    <row r="1234" spans="1:2" x14ac:dyDescent="0.2">
      <c r="A1234" s="78"/>
      <c r="B1234" s="80"/>
    </row>
    <row r="1235" spans="1:2" x14ac:dyDescent="0.2">
      <c r="A1235" s="78"/>
      <c r="B1235" s="80"/>
    </row>
    <row r="1236" spans="1:2" x14ac:dyDescent="0.2">
      <c r="A1236" s="78"/>
      <c r="B1236" s="80"/>
    </row>
    <row r="1237" spans="1:2" x14ac:dyDescent="0.2">
      <c r="A1237" s="78"/>
      <c r="B1237" s="80"/>
    </row>
    <row r="1238" spans="1:2" x14ac:dyDescent="0.2">
      <c r="A1238" s="78"/>
      <c r="B1238" s="80"/>
    </row>
    <row r="1239" spans="1:2" x14ac:dyDescent="0.2">
      <c r="A1239" s="78"/>
      <c r="B1239" s="80"/>
    </row>
    <row r="1240" spans="1:2" x14ac:dyDescent="0.2">
      <c r="A1240" s="78"/>
      <c r="B1240" s="80"/>
    </row>
    <row r="1241" spans="1:2" x14ac:dyDescent="0.2">
      <c r="A1241" s="78"/>
      <c r="B1241" s="80"/>
    </row>
    <row r="1242" spans="1:2" x14ac:dyDescent="0.2">
      <c r="A1242" s="78"/>
      <c r="B1242" s="80"/>
    </row>
    <row r="1243" spans="1:2" x14ac:dyDescent="0.2">
      <c r="A1243" s="78"/>
      <c r="B1243" s="80"/>
    </row>
    <row r="1244" spans="1:2" x14ac:dyDescent="0.2">
      <c r="A1244" s="78"/>
      <c r="B1244" s="80"/>
    </row>
    <row r="1245" spans="1:2" x14ac:dyDescent="0.2">
      <c r="A1245" s="78"/>
      <c r="B1245" s="80"/>
    </row>
    <row r="1246" spans="1:2" x14ac:dyDescent="0.2">
      <c r="A1246" s="78"/>
      <c r="B1246" s="80"/>
    </row>
    <row r="1247" spans="1:2" x14ac:dyDescent="0.2">
      <c r="A1247" s="78"/>
      <c r="B1247" s="80"/>
    </row>
    <row r="1248" spans="1:2" x14ac:dyDescent="0.2">
      <c r="A1248" s="78"/>
      <c r="B1248" s="80"/>
    </row>
    <row r="1249" spans="1:2" x14ac:dyDescent="0.2">
      <c r="A1249" s="78"/>
      <c r="B1249" s="80"/>
    </row>
    <row r="1250" spans="1:2" x14ac:dyDescent="0.2">
      <c r="A1250" s="78"/>
      <c r="B1250" s="80"/>
    </row>
    <row r="1251" spans="1:2" x14ac:dyDescent="0.2">
      <c r="A1251" s="78"/>
      <c r="B1251" s="80"/>
    </row>
    <row r="1252" spans="1:2" x14ac:dyDescent="0.2">
      <c r="A1252" s="78"/>
      <c r="B1252" s="80"/>
    </row>
    <row r="1253" spans="1:2" x14ac:dyDescent="0.2">
      <c r="A1253" s="78"/>
      <c r="B1253" s="80"/>
    </row>
    <row r="1254" spans="1:2" x14ac:dyDescent="0.2">
      <c r="A1254" s="78"/>
      <c r="B1254" s="80"/>
    </row>
    <row r="1255" spans="1:2" x14ac:dyDescent="0.2">
      <c r="A1255" s="78"/>
      <c r="B1255" s="80"/>
    </row>
    <row r="1256" spans="1:2" x14ac:dyDescent="0.2">
      <c r="A1256" s="78"/>
      <c r="B1256" s="80"/>
    </row>
    <row r="1257" spans="1:2" x14ac:dyDescent="0.2">
      <c r="A1257" s="78"/>
      <c r="B1257" s="80"/>
    </row>
    <row r="1258" spans="1:2" x14ac:dyDescent="0.2">
      <c r="A1258" s="78"/>
      <c r="B1258" s="80"/>
    </row>
    <row r="1259" spans="1:2" x14ac:dyDescent="0.2">
      <c r="A1259" s="78"/>
      <c r="B1259" s="80"/>
    </row>
    <row r="1260" spans="1:2" x14ac:dyDescent="0.2">
      <c r="A1260" s="78"/>
      <c r="B1260" s="80"/>
    </row>
    <row r="1261" spans="1:2" x14ac:dyDescent="0.2">
      <c r="A1261" s="78"/>
      <c r="B1261" s="80"/>
    </row>
    <row r="1262" spans="1:2" x14ac:dyDescent="0.2">
      <c r="A1262" s="78"/>
      <c r="B1262" s="80"/>
    </row>
    <row r="1263" spans="1:2" x14ac:dyDescent="0.2">
      <c r="A1263" s="78"/>
      <c r="B1263" s="80"/>
    </row>
    <row r="1264" spans="1:2" x14ac:dyDescent="0.2">
      <c r="A1264" s="78"/>
      <c r="B1264" s="80"/>
    </row>
    <row r="1265" spans="1:2" x14ac:dyDescent="0.2">
      <c r="A1265" s="78"/>
      <c r="B1265" s="80"/>
    </row>
    <row r="1266" spans="1:2" x14ac:dyDescent="0.2">
      <c r="A1266" s="78"/>
      <c r="B1266" s="80"/>
    </row>
    <row r="1267" spans="1:2" x14ac:dyDescent="0.2">
      <c r="A1267" s="78"/>
      <c r="B1267" s="80"/>
    </row>
    <row r="1268" spans="1:2" x14ac:dyDescent="0.2">
      <c r="A1268" s="78"/>
      <c r="B1268" s="80"/>
    </row>
    <row r="1269" spans="1:2" x14ac:dyDescent="0.2">
      <c r="A1269" s="78"/>
      <c r="B1269" s="80"/>
    </row>
    <row r="1270" spans="1:2" x14ac:dyDescent="0.2">
      <c r="A1270" s="78"/>
      <c r="B1270" s="80"/>
    </row>
    <row r="1271" spans="1:2" x14ac:dyDescent="0.2">
      <c r="A1271" s="78"/>
      <c r="B1271" s="80"/>
    </row>
    <row r="1272" spans="1:2" x14ac:dyDescent="0.2">
      <c r="A1272" s="78"/>
      <c r="B1272" s="80"/>
    </row>
    <row r="1273" spans="1:2" x14ac:dyDescent="0.2">
      <c r="A1273" s="78"/>
      <c r="B1273" s="80"/>
    </row>
    <row r="1274" spans="1:2" x14ac:dyDescent="0.2">
      <c r="A1274" s="78"/>
      <c r="B1274" s="80"/>
    </row>
    <row r="1275" spans="1:2" x14ac:dyDescent="0.2">
      <c r="A1275" s="78"/>
      <c r="B1275" s="80"/>
    </row>
    <row r="1276" spans="1:2" x14ac:dyDescent="0.2">
      <c r="A1276" s="78"/>
      <c r="B1276" s="80"/>
    </row>
    <row r="1277" spans="1:2" x14ac:dyDescent="0.2">
      <c r="A1277" s="78"/>
      <c r="B1277" s="80"/>
    </row>
    <row r="1278" spans="1:2" x14ac:dyDescent="0.2">
      <c r="A1278" s="78"/>
      <c r="B1278" s="80"/>
    </row>
    <row r="1279" spans="1:2" x14ac:dyDescent="0.2">
      <c r="A1279" s="78"/>
      <c r="B1279" s="80"/>
    </row>
    <row r="1280" spans="1:2" x14ac:dyDescent="0.2">
      <c r="A1280" s="78"/>
      <c r="B1280" s="80"/>
    </row>
    <row r="1281" spans="1:2" x14ac:dyDescent="0.2">
      <c r="A1281" s="78"/>
      <c r="B1281" s="80"/>
    </row>
    <row r="1282" spans="1:2" x14ac:dyDescent="0.2">
      <c r="A1282" s="78"/>
      <c r="B1282" s="80"/>
    </row>
    <row r="1283" spans="1:2" x14ac:dyDescent="0.2">
      <c r="A1283" s="78"/>
      <c r="B1283" s="80"/>
    </row>
    <row r="1284" spans="1:2" x14ac:dyDescent="0.2">
      <c r="A1284" s="78"/>
      <c r="B1284" s="80"/>
    </row>
    <row r="1285" spans="1:2" x14ac:dyDescent="0.2">
      <c r="A1285" s="78"/>
      <c r="B1285" s="80"/>
    </row>
    <row r="1286" spans="1:2" x14ac:dyDescent="0.2">
      <c r="A1286" s="78"/>
      <c r="B1286" s="80"/>
    </row>
    <row r="1287" spans="1:2" x14ac:dyDescent="0.2">
      <c r="A1287" s="78"/>
      <c r="B1287" s="80"/>
    </row>
    <row r="1288" spans="1:2" x14ac:dyDescent="0.2">
      <c r="A1288" s="78"/>
      <c r="B1288" s="80"/>
    </row>
    <row r="1289" spans="1:2" x14ac:dyDescent="0.2">
      <c r="A1289" s="78"/>
      <c r="B1289" s="80"/>
    </row>
    <row r="1290" spans="1:2" x14ac:dyDescent="0.2">
      <c r="A1290" s="78"/>
      <c r="B1290" s="80"/>
    </row>
    <row r="1291" spans="1:2" x14ac:dyDescent="0.2">
      <c r="A1291" s="78"/>
      <c r="B1291" s="80"/>
    </row>
    <row r="1292" spans="1:2" x14ac:dyDescent="0.2">
      <c r="A1292" s="78"/>
      <c r="B1292" s="80"/>
    </row>
    <row r="1293" spans="1:2" x14ac:dyDescent="0.2">
      <c r="A1293" s="78"/>
      <c r="B1293" s="80"/>
    </row>
    <row r="1294" spans="1:2" x14ac:dyDescent="0.2">
      <c r="A1294" s="78"/>
      <c r="B1294" s="80"/>
    </row>
    <row r="1295" spans="1:2" x14ac:dyDescent="0.2">
      <c r="A1295" s="78"/>
      <c r="B1295" s="80"/>
    </row>
    <row r="1296" spans="1:2" x14ac:dyDescent="0.2">
      <c r="A1296" s="78"/>
      <c r="B1296" s="80"/>
    </row>
    <row r="1297" spans="1:2" x14ac:dyDescent="0.2">
      <c r="A1297" s="78"/>
      <c r="B1297" s="80"/>
    </row>
    <row r="1298" spans="1:2" x14ac:dyDescent="0.2">
      <c r="A1298" s="78"/>
      <c r="B1298" s="80"/>
    </row>
    <row r="1299" spans="1:2" x14ac:dyDescent="0.2">
      <c r="A1299" s="78"/>
      <c r="B1299" s="80"/>
    </row>
    <row r="1300" spans="1:2" x14ac:dyDescent="0.2">
      <c r="A1300" s="78"/>
      <c r="B1300" s="80"/>
    </row>
    <row r="1301" spans="1:2" x14ac:dyDescent="0.2">
      <c r="A1301" s="78"/>
      <c r="B1301" s="80"/>
    </row>
    <row r="1302" spans="1:2" x14ac:dyDescent="0.2">
      <c r="A1302" s="78"/>
      <c r="B1302" s="80"/>
    </row>
    <row r="1303" spans="1:2" x14ac:dyDescent="0.2">
      <c r="A1303" s="78"/>
      <c r="B1303" s="80"/>
    </row>
    <row r="1304" spans="1:2" x14ac:dyDescent="0.2">
      <c r="A1304" s="78"/>
      <c r="B1304" s="80"/>
    </row>
    <row r="1305" spans="1:2" x14ac:dyDescent="0.2">
      <c r="A1305" s="78"/>
      <c r="B1305" s="80"/>
    </row>
    <row r="1306" spans="1:2" x14ac:dyDescent="0.2">
      <c r="A1306" s="78"/>
      <c r="B1306" s="80"/>
    </row>
    <row r="1307" spans="1:2" x14ac:dyDescent="0.2">
      <c r="A1307" s="78"/>
      <c r="B1307" s="80"/>
    </row>
    <row r="1308" spans="1:2" x14ac:dyDescent="0.2">
      <c r="A1308" s="78"/>
      <c r="B1308" s="80"/>
    </row>
    <row r="1309" spans="1:2" x14ac:dyDescent="0.2">
      <c r="A1309" s="78"/>
      <c r="B1309" s="80"/>
    </row>
    <row r="1310" spans="1:2" x14ac:dyDescent="0.2">
      <c r="A1310" s="78"/>
      <c r="B1310" s="80"/>
    </row>
    <row r="1311" spans="1:2" x14ac:dyDescent="0.2">
      <c r="A1311" s="78"/>
      <c r="B1311" s="80"/>
    </row>
    <row r="1312" spans="1:2" x14ac:dyDescent="0.2">
      <c r="A1312" s="78"/>
      <c r="B1312" s="80"/>
    </row>
    <row r="1313" spans="1:2" x14ac:dyDescent="0.2">
      <c r="A1313" s="78"/>
      <c r="B1313" s="80"/>
    </row>
    <row r="1314" spans="1:2" x14ac:dyDescent="0.2">
      <c r="A1314" s="78"/>
      <c r="B1314" s="80"/>
    </row>
    <row r="1315" spans="1:2" x14ac:dyDescent="0.2">
      <c r="A1315" s="78"/>
      <c r="B1315" s="80"/>
    </row>
    <row r="1316" spans="1:2" x14ac:dyDescent="0.2">
      <c r="A1316" s="78"/>
      <c r="B1316" s="80"/>
    </row>
    <row r="1317" spans="1:2" x14ac:dyDescent="0.2">
      <c r="A1317" s="78"/>
      <c r="B1317" s="80"/>
    </row>
    <row r="1318" spans="1:2" x14ac:dyDescent="0.2">
      <c r="A1318" s="78"/>
      <c r="B1318" s="80"/>
    </row>
    <row r="1319" spans="1:2" x14ac:dyDescent="0.2">
      <c r="A1319" s="78"/>
      <c r="B1319" s="80"/>
    </row>
    <row r="1320" spans="1:2" x14ac:dyDescent="0.2">
      <c r="A1320" s="78"/>
      <c r="B1320" s="80"/>
    </row>
    <row r="1321" spans="1:2" x14ac:dyDescent="0.2">
      <c r="A1321" s="78"/>
      <c r="B1321" s="80"/>
    </row>
    <row r="1322" spans="1:2" x14ac:dyDescent="0.2">
      <c r="A1322" s="78"/>
      <c r="B1322" s="80"/>
    </row>
    <row r="1323" spans="1:2" x14ac:dyDescent="0.2">
      <c r="A1323" s="78"/>
      <c r="B1323" s="80"/>
    </row>
    <row r="1324" spans="1:2" x14ac:dyDescent="0.2">
      <c r="A1324" s="78"/>
      <c r="B1324" s="80"/>
    </row>
    <row r="1325" spans="1:2" x14ac:dyDescent="0.2">
      <c r="A1325" s="78"/>
      <c r="B1325" s="80"/>
    </row>
    <row r="1326" spans="1:2" x14ac:dyDescent="0.2">
      <c r="A1326" s="78"/>
      <c r="B1326" s="80"/>
    </row>
    <row r="1327" spans="1:2" x14ac:dyDescent="0.2">
      <c r="A1327" s="78"/>
      <c r="B1327" s="80"/>
    </row>
    <row r="1328" spans="1:2" x14ac:dyDescent="0.2">
      <c r="A1328" s="78"/>
      <c r="B1328" s="80"/>
    </row>
    <row r="1329" spans="1:2" x14ac:dyDescent="0.2">
      <c r="A1329" s="78"/>
      <c r="B1329" s="80"/>
    </row>
    <row r="1330" spans="1:2" x14ac:dyDescent="0.2">
      <c r="A1330" s="78"/>
      <c r="B1330" s="80"/>
    </row>
    <row r="1331" spans="1:2" x14ac:dyDescent="0.2">
      <c r="A1331" s="78"/>
      <c r="B1331" s="80"/>
    </row>
    <row r="1332" spans="1:2" x14ac:dyDescent="0.2">
      <c r="A1332" s="78"/>
      <c r="B1332" s="80"/>
    </row>
    <row r="1333" spans="1:2" x14ac:dyDescent="0.2">
      <c r="A1333" s="78"/>
      <c r="B1333" s="80"/>
    </row>
    <row r="1334" spans="1:2" x14ac:dyDescent="0.2">
      <c r="A1334" s="78"/>
      <c r="B1334" s="80"/>
    </row>
    <row r="1335" spans="1:2" x14ac:dyDescent="0.2">
      <c r="A1335" s="78"/>
      <c r="B1335" s="80"/>
    </row>
    <row r="1336" spans="1:2" x14ac:dyDescent="0.2">
      <c r="A1336" s="78"/>
      <c r="B1336" s="80"/>
    </row>
    <row r="1337" spans="1:2" x14ac:dyDescent="0.2">
      <c r="A1337" s="78"/>
      <c r="B1337" s="80"/>
    </row>
    <row r="1338" spans="1:2" x14ac:dyDescent="0.2">
      <c r="A1338" s="78"/>
      <c r="B1338" s="80"/>
    </row>
    <row r="1339" spans="1:2" x14ac:dyDescent="0.2">
      <c r="A1339" s="78"/>
      <c r="B1339" s="80"/>
    </row>
    <row r="1340" spans="1:2" x14ac:dyDescent="0.2">
      <c r="A1340" s="78"/>
      <c r="B1340" s="80"/>
    </row>
    <row r="1341" spans="1:2" x14ac:dyDescent="0.2">
      <c r="A1341" s="78"/>
      <c r="B1341" s="80"/>
    </row>
    <row r="1342" spans="1:2" x14ac:dyDescent="0.2">
      <c r="A1342" s="78"/>
      <c r="B1342" s="80"/>
    </row>
    <row r="1343" spans="1:2" x14ac:dyDescent="0.2">
      <c r="A1343" s="78"/>
      <c r="B1343" s="80"/>
    </row>
    <row r="1344" spans="1:2" x14ac:dyDescent="0.2">
      <c r="A1344" s="78"/>
      <c r="B1344" s="80"/>
    </row>
    <row r="1345" spans="1:2" x14ac:dyDescent="0.2">
      <c r="A1345" s="78"/>
      <c r="B1345" s="80"/>
    </row>
    <row r="1346" spans="1:2" x14ac:dyDescent="0.2">
      <c r="A1346" s="78"/>
      <c r="B1346" s="80"/>
    </row>
    <row r="1347" spans="1:2" x14ac:dyDescent="0.2">
      <c r="A1347" s="78"/>
      <c r="B1347" s="80"/>
    </row>
    <row r="1348" spans="1:2" x14ac:dyDescent="0.2">
      <c r="A1348" s="78"/>
      <c r="B1348" s="80"/>
    </row>
    <row r="1349" spans="1:2" x14ac:dyDescent="0.2">
      <c r="A1349" s="78"/>
      <c r="B1349" s="80"/>
    </row>
    <row r="1350" spans="1:2" x14ac:dyDescent="0.2">
      <c r="A1350" s="78"/>
      <c r="B1350" s="80"/>
    </row>
    <row r="1351" spans="1:2" x14ac:dyDescent="0.2">
      <c r="A1351" s="78"/>
      <c r="B1351" s="80"/>
    </row>
    <row r="1352" spans="1:2" x14ac:dyDescent="0.2">
      <c r="A1352" s="78"/>
      <c r="B1352" s="80"/>
    </row>
    <row r="1353" spans="1:2" x14ac:dyDescent="0.2">
      <c r="A1353" s="78"/>
      <c r="B1353" s="80"/>
    </row>
    <row r="1354" spans="1:2" x14ac:dyDescent="0.2">
      <c r="A1354" s="78"/>
      <c r="B1354" s="80"/>
    </row>
    <row r="1355" spans="1:2" x14ac:dyDescent="0.2">
      <c r="A1355" s="78"/>
      <c r="B1355" s="80"/>
    </row>
    <row r="1356" spans="1:2" x14ac:dyDescent="0.2">
      <c r="A1356" s="78"/>
      <c r="B1356" s="80"/>
    </row>
    <row r="1357" spans="1:2" x14ac:dyDescent="0.2">
      <c r="A1357" s="78"/>
      <c r="B1357" s="80"/>
    </row>
    <row r="1358" spans="1:2" x14ac:dyDescent="0.2">
      <c r="A1358" s="78"/>
      <c r="B1358" s="80"/>
    </row>
    <row r="1359" spans="1:2" x14ac:dyDescent="0.2">
      <c r="A1359" s="78"/>
      <c r="B1359" s="80"/>
    </row>
    <row r="1360" spans="1:2" x14ac:dyDescent="0.2">
      <c r="A1360" s="78"/>
      <c r="B1360" s="80"/>
    </row>
    <row r="1361" spans="1:2" x14ac:dyDescent="0.2">
      <c r="A1361" s="78"/>
      <c r="B1361" s="80"/>
    </row>
    <row r="1362" spans="1:2" x14ac:dyDescent="0.2">
      <c r="A1362" s="78"/>
      <c r="B1362" s="80"/>
    </row>
    <row r="1363" spans="1:2" x14ac:dyDescent="0.2">
      <c r="A1363" s="78"/>
      <c r="B1363" s="80"/>
    </row>
    <row r="1364" spans="1:2" x14ac:dyDescent="0.2">
      <c r="A1364" s="78"/>
      <c r="B1364" s="80"/>
    </row>
    <row r="1365" spans="1:2" x14ac:dyDescent="0.2">
      <c r="A1365" s="78"/>
      <c r="B1365" s="80"/>
    </row>
    <row r="1366" spans="1:2" x14ac:dyDescent="0.2">
      <c r="A1366" s="78"/>
      <c r="B1366" s="80"/>
    </row>
    <row r="1367" spans="1:2" x14ac:dyDescent="0.2">
      <c r="A1367" s="78"/>
      <c r="B1367" s="80"/>
    </row>
    <row r="1368" spans="1:2" x14ac:dyDescent="0.2">
      <c r="A1368" s="78"/>
      <c r="B1368" s="80"/>
    </row>
    <row r="1369" spans="1:2" x14ac:dyDescent="0.2">
      <c r="A1369" s="78"/>
      <c r="B1369" s="80"/>
    </row>
    <row r="1370" spans="1:2" x14ac:dyDescent="0.2">
      <c r="A1370" s="78"/>
      <c r="B1370" s="80"/>
    </row>
    <row r="1371" spans="1:2" x14ac:dyDescent="0.2">
      <c r="A1371" s="78"/>
      <c r="B1371" s="80"/>
    </row>
    <row r="1372" spans="1:2" x14ac:dyDescent="0.2">
      <c r="A1372" s="78"/>
      <c r="B1372" s="80"/>
    </row>
    <row r="1373" spans="1:2" x14ac:dyDescent="0.2">
      <c r="A1373" s="78"/>
      <c r="B1373" s="80"/>
    </row>
    <row r="1374" spans="1:2" x14ac:dyDescent="0.2">
      <c r="A1374" s="78"/>
      <c r="B1374" s="80"/>
    </row>
    <row r="1375" spans="1:2" x14ac:dyDescent="0.2">
      <c r="A1375" s="78"/>
      <c r="B1375" s="80"/>
    </row>
    <row r="1376" spans="1:2" x14ac:dyDescent="0.2">
      <c r="A1376" s="78"/>
      <c r="B1376" s="80"/>
    </row>
    <row r="1377" spans="1:2" x14ac:dyDescent="0.2">
      <c r="A1377" s="78"/>
      <c r="B1377" s="80"/>
    </row>
    <row r="1378" spans="1:2" x14ac:dyDescent="0.2">
      <c r="A1378" s="78"/>
      <c r="B1378" s="80"/>
    </row>
    <row r="1379" spans="1:2" x14ac:dyDescent="0.2">
      <c r="A1379" s="78"/>
      <c r="B1379" s="80"/>
    </row>
    <row r="1380" spans="1:2" x14ac:dyDescent="0.2">
      <c r="A1380" s="78"/>
      <c r="B1380" s="80"/>
    </row>
    <row r="1381" spans="1:2" x14ac:dyDescent="0.2">
      <c r="A1381" s="78"/>
      <c r="B1381" s="80"/>
    </row>
    <row r="1382" spans="1:2" x14ac:dyDescent="0.2">
      <c r="A1382" s="78"/>
      <c r="B1382" s="80"/>
    </row>
    <row r="1383" spans="1:2" x14ac:dyDescent="0.2">
      <c r="A1383" s="78"/>
      <c r="B1383" s="80"/>
    </row>
    <row r="1384" spans="1:2" x14ac:dyDescent="0.2">
      <c r="A1384" s="78"/>
      <c r="B1384" s="80"/>
    </row>
    <row r="1385" spans="1:2" x14ac:dyDescent="0.2">
      <c r="A1385" s="78"/>
      <c r="B1385" s="80"/>
    </row>
    <row r="1386" spans="1:2" x14ac:dyDescent="0.2">
      <c r="A1386" s="78"/>
      <c r="B1386" s="80"/>
    </row>
    <row r="1387" spans="1:2" x14ac:dyDescent="0.2">
      <c r="A1387" s="78"/>
      <c r="B1387" s="80"/>
    </row>
    <row r="1388" spans="1:2" x14ac:dyDescent="0.2">
      <c r="A1388" s="78"/>
      <c r="B1388" s="80"/>
    </row>
    <row r="1389" spans="1:2" x14ac:dyDescent="0.2">
      <c r="A1389" s="78"/>
      <c r="B1389" s="80"/>
    </row>
    <row r="1390" spans="1:2" x14ac:dyDescent="0.2">
      <c r="A1390" s="78"/>
      <c r="B1390" s="80"/>
    </row>
    <row r="1391" spans="1:2" x14ac:dyDescent="0.2">
      <c r="A1391" s="78"/>
      <c r="B1391" s="80"/>
    </row>
    <row r="1392" spans="1:2" x14ac:dyDescent="0.2">
      <c r="A1392" s="78"/>
      <c r="B1392" s="80"/>
    </row>
    <row r="1393" spans="1:2" x14ac:dyDescent="0.2">
      <c r="A1393" s="78"/>
      <c r="B1393" s="80"/>
    </row>
    <row r="1394" spans="1:2" x14ac:dyDescent="0.2">
      <c r="A1394" s="78"/>
      <c r="B1394" s="80"/>
    </row>
    <row r="1395" spans="1:2" x14ac:dyDescent="0.2">
      <c r="A1395" s="78"/>
      <c r="B1395" s="80"/>
    </row>
    <row r="1396" spans="1:2" x14ac:dyDescent="0.2">
      <c r="A1396" s="78"/>
      <c r="B1396" s="80"/>
    </row>
    <row r="1397" spans="1:2" x14ac:dyDescent="0.2">
      <c r="A1397" s="78"/>
      <c r="B1397" s="80"/>
    </row>
    <row r="1398" spans="1:2" x14ac:dyDescent="0.2">
      <c r="A1398" s="78"/>
      <c r="B1398" s="80"/>
    </row>
    <row r="1399" spans="1:2" x14ac:dyDescent="0.2">
      <c r="A1399" s="78"/>
      <c r="B1399" s="80"/>
    </row>
    <row r="1400" spans="1:2" x14ac:dyDescent="0.2">
      <c r="A1400" s="78"/>
      <c r="B1400" s="80"/>
    </row>
    <row r="1401" spans="1:2" x14ac:dyDescent="0.2">
      <c r="A1401" s="78"/>
      <c r="B1401" s="80"/>
    </row>
    <row r="1402" spans="1:2" x14ac:dyDescent="0.2">
      <c r="A1402" s="78"/>
      <c r="B1402" s="80"/>
    </row>
    <row r="1403" spans="1:2" x14ac:dyDescent="0.2">
      <c r="A1403" s="78"/>
      <c r="B1403" s="80"/>
    </row>
    <row r="1404" spans="1:2" x14ac:dyDescent="0.2">
      <c r="A1404" s="78"/>
      <c r="B1404" s="80"/>
    </row>
    <row r="1405" spans="1:2" x14ac:dyDescent="0.2">
      <c r="A1405" s="78"/>
      <c r="B1405" s="80"/>
    </row>
    <row r="1406" spans="1:2" x14ac:dyDescent="0.2">
      <c r="A1406" s="78"/>
      <c r="B1406" s="80"/>
    </row>
    <row r="1407" spans="1:2" x14ac:dyDescent="0.2">
      <c r="A1407" s="78"/>
      <c r="B1407" s="80"/>
    </row>
    <row r="1408" spans="1:2" x14ac:dyDescent="0.2">
      <c r="A1408" s="78"/>
      <c r="B1408" s="80"/>
    </row>
    <row r="1409" spans="1:2" x14ac:dyDescent="0.2">
      <c r="A1409" s="78"/>
      <c r="B1409" s="80"/>
    </row>
    <row r="1410" spans="1:2" x14ac:dyDescent="0.2">
      <c r="A1410" s="78"/>
      <c r="B1410" s="80"/>
    </row>
    <row r="1411" spans="1:2" x14ac:dyDescent="0.2">
      <c r="A1411" s="78"/>
      <c r="B1411" s="80"/>
    </row>
    <row r="1412" spans="1:2" x14ac:dyDescent="0.2">
      <c r="A1412" s="78"/>
      <c r="B1412" s="80"/>
    </row>
    <row r="1413" spans="1:2" x14ac:dyDescent="0.2">
      <c r="A1413" s="78"/>
      <c r="B1413" s="80"/>
    </row>
    <row r="1414" spans="1:2" x14ac:dyDescent="0.2">
      <c r="A1414" s="78"/>
      <c r="B1414" s="80"/>
    </row>
    <row r="1415" spans="1:2" x14ac:dyDescent="0.2">
      <c r="A1415" s="78"/>
      <c r="B1415" s="80"/>
    </row>
    <row r="1416" spans="1:2" x14ac:dyDescent="0.2">
      <c r="A1416" s="78"/>
      <c r="B1416" s="80"/>
    </row>
    <row r="1417" spans="1:2" x14ac:dyDescent="0.2">
      <c r="A1417" s="78"/>
      <c r="B1417" s="80"/>
    </row>
    <row r="1418" spans="1:2" x14ac:dyDescent="0.2">
      <c r="A1418" s="78"/>
      <c r="B1418" s="80"/>
    </row>
    <row r="1419" spans="1:2" x14ac:dyDescent="0.2">
      <c r="A1419" s="78"/>
      <c r="B1419" s="80"/>
    </row>
    <row r="1420" spans="1:2" x14ac:dyDescent="0.2">
      <c r="A1420" s="78"/>
      <c r="B1420" s="80"/>
    </row>
    <row r="1421" spans="1:2" x14ac:dyDescent="0.2">
      <c r="A1421" s="78"/>
      <c r="B1421" s="80"/>
    </row>
    <row r="1422" spans="1:2" x14ac:dyDescent="0.2">
      <c r="A1422" s="78"/>
      <c r="B1422" s="80"/>
    </row>
    <row r="1423" spans="1:2" x14ac:dyDescent="0.2">
      <c r="A1423" s="78"/>
      <c r="B1423" s="80"/>
    </row>
    <row r="1424" spans="1:2" x14ac:dyDescent="0.2">
      <c r="A1424" s="78"/>
      <c r="B1424" s="80"/>
    </row>
    <row r="1425" spans="1:2" x14ac:dyDescent="0.2">
      <c r="A1425" s="78"/>
      <c r="B1425" s="80"/>
    </row>
    <row r="1426" spans="1:2" x14ac:dyDescent="0.2">
      <c r="A1426" s="78"/>
      <c r="B1426" s="80"/>
    </row>
    <row r="1427" spans="1:2" x14ac:dyDescent="0.2">
      <c r="A1427" s="78"/>
      <c r="B1427" s="80"/>
    </row>
    <row r="1428" spans="1:2" x14ac:dyDescent="0.2">
      <c r="A1428" s="78"/>
      <c r="B1428" s="80"/>
    </row>
    <row r="1429" spans="1:2" x14ac:dyDescent="0.2">
      <c r="A1429" s="78"/>
      <c r="B1429" s="80"/>
    </row>
    <row r="1430" spans="1:2" x14ac:dyDescent="0.2">
      <c r="A1430" s="78"/>
      <c r="B1430" s="80"/>
    </row>
    <row r="1431" spans="1:2" x14ac:dyDescent="0.2">
      <c r="A1431" s="78"/>
      <c r="B1431" s="80"/>
    </row>
    <row r="1432" spans="1:2" x14ac:dyDescent="0.2">
      <c r="A1432" s="78"/>
      <c r="B1432" s="80"/>
    </row>
    <row r="1433" spans="1:2" x14ac:dyDescent="0.2">
      <c r="A1433" s="78"/>
      <c r="B1433" s="80"/>
    </row>
    <row r="1434" spans="1:2" x14ac:dyDescent="0.2">
      <c r="A1434" s="78"/>
      <c r="B1434" s="80"/>
    </row>
    <row r="1435" spans="1:2" x14ac:dyDescent="0.2">
      <c r="A1435" s="78"/>
      <c r="B1435" s="80"/>
    </row>
    <row r="1436" spans="1:2" x14ac:dyDescent="0.2">
      <c r="A1436" s="78"/>
      <c r="B1436" s="80"/>
    </row>
    <row r="1437" spans="1:2" x14ac:dyDescent="0.2">
      <c r="A1437" s="78"/>
      <c r="B1437" s="80"/>
    </row>
    <row r="1438" spans="1:2" x14ac:dyDescent="0.2">
      <c r="A1438" s="78"/>
      <c r="B1438" s="80"/>
    </row>
  </sheetData>
  <mergeCells count="3">
    <mergeCell ref="M4:P4"/>
    <mergeCell ref="M21:P21"/>
    <mergeCell ref="C26:D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Data</vt:lpstr>
      <vt:lpstr>Input Sheet</vt:lpstr>
      <vt:lpstr>Output Sheet</vt:lpstr>
      <vt:lpstr>Graph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CENAN-PL</dc:creator>
  <cp:lastModifiedBy>Bryant Beem</cp:lastModifiedBy>
  <dcterms:created xsi:type="dcterms:W3CDTF">2001-07-31T15:12:25Z</dcterms:created>
  <dcterms:modified xsi:type="dcterms:W3CDTF">2017-12-03T19:46:53Z</dcterms:modified>
</cp:coreProperties>
</file>